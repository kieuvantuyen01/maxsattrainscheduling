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1" l="1"/>
  <c r="Q15" i="1"/>
  <c r="P15" i="1"/>
  <c r="O15" i="1"/>
  <c r="N15" i="1"/>
  <c r="M15" i="1"/>
  <c r="L15" i="1"/>
  <c r="K15" i="1"/>
  <c r="F15" i="1"/>
  <c r="C11" i="1" l="1"/>
  <c r="D11" i="1"/>
  <c r="E11" i="1"/>
  <c r="F11" i="1"/>
  <c r="G11" i="1"/>
  <c r="H11" i="1"/>
  <c r="I11" i="1"/>
  <c r="J11" i="1"/>
  <c r="C15" i="1"/>
  <c r="D15" i="1"/>
  <c r="E15" i="1"/>
  <c r="G15" i="1"/>
  <c r="H15" i="1"/>
  <c r="I15" i="1"/>
  <c r="J15" i="1"/>
  <c r="C7" i="1"/>
  <c r="D7" i="1"/>
  <c r="E7" i="1"/>
  <c r="F7" i="1"/>
  <c r="G7" i="1"/>
  <c r="H7" i="1"/>
  <c r="I7" i="1"/>
  <c r="J7" i="1"/>
  <c r="M11" i="1" l="1"/>
  <c r="N11" i="1"/>
  <c r="O11" i="1"/>
  <c r="P11" i="1"/>
  <c r="Q11" i="1"/>
  <c r="R11" i="1"/>
  <c r="M7" i="1"/>
  <c r="N7" i="1"/>
  <c r="O7" i="1"/>
  <c r="P7" i="1"/>
  <c r="Q7" i="1"/>
  <c r="R7" i="1"/>
  <c r="L11" i="1" l="1"/>
  <c r="K11" i="1"/>
  <c r="L7" i="1"/>
  <c r="K7" i="1"/>
</calcChain>
</file>

<file path=xl/sharedStrings.xml><?xml version="1.0" encoding="utf-8"?>
<sst xmlns="http://schemas.openxmlformats.org/spreadsheetml/2006/main" count="39" uniqueCount="17">
  <si>
    <t>Objective function</t>
  </si>
  <si>
    <t>Set</t>
  </si>
  <si>
    <t>Average time (ms)</t>
  </si>
  <si>
    <t>#Solved</t>
  </si>
  <si>
    <t>Paper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</si>
  <si>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</si>
  <si>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</si>
  <si>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</si>
  <si>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</si>
  <si>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</si>
  <si>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</si>
  <si>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</si>
  <si>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Maxsat SCL</t>
  </si>
  <si>
    <t>120 seconds time out</t>
  </si>
  <si>
    <t>600 seconds timeout</t>
  </si>
  <si>
    <t>Maxsat Interval Graph</t>
  </si>
  <si>
    <t>Maxsat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</si>
</sst>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2" fillId="2" borderId="1" xfId="1" applyFont="1" applyBorder="1"/>
    <xf numFmtId="0" fontId="1" fillId="2" borderId="1" xfId="1" applyFont="1" applyBorder="1"/>
    <xf numFmtId="0" fontId="0" fillId="0" borderId="0" xfId="0" applyBorder="1"/>
    <xf numFmtId="0" fontId="0" fillId="0" borderId="1" xfId="0" applyFill="1" applyBorder="1"/>
    <xf numFmtId="0" fontId="0" fillId="0" borderId="2" xfId="0" applyBorder="1"/>
    <xf numFmtId="0" fontId="1" fillId="2" borderId="2" xfId="1" applyBorder="1"/>
    <xf numFmtId="0" fontId="0" fillId="0" borderId="3" xfId="0" applyBorder="1"/>
    <xf numFmtId="0" fontId="2" fillId="0" borderId="3" xfId="0" applyFont="1" applyBorder="1"/>
    <xf numFmtId="0" fontId="0" fillId="0" borderId="7" xfId="0" applyBorder="1"/>
    <xf numFmtId="0" fontId="0" fillId="0" borderId="8" xfId="0" applyBorder="1"/>
    <xf numFmtId="0" fontId="2" fillId="2" borderId="7" xfId="1" applyFont="1" applyBorder="1"/>
    <xf numFmtId="0" fontId="1" fillId="2" borderId="7" xfId="1" applyFont="1" applyBorder="1"/>
    <xf numFmtId="0" fontId="0" fillId="0" borderId="6" xfId="0" applyBorder="1"/>
    <xf numFmtId="0" fontId="2" fillId="0" borderId="7" xfId="0" applyFont="1" applyBorder="1"/>
    <xf numFmtId="0" fontId="0" fillId="0" borderId="1" xfId="0" applyFont="1" applyFill="1" applyBorder="1"/>
    <xf numFmtId="0" fontId="0" fillId="0" borderId="9" xfId="0" applyBorder="1"/>
    <xf numFmtId="0" fontId="1" fillId="2" borderId="11" xfId="1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2" fillId="2" borderId="15" xfId="1" applyFont="1" applyBorder="1"/>
    <xf numFmtId="0" fontId="1" fillId="2" borderId="15" xfId="1" applyFont="1" applyBorder="1"/>
    <xf numFmtId="0" fontId="2" fillId="2" borderId="19" xfId="1" applyFont="1" applyBorder="1"/>
    <xf numFmtId="0" fontId="1" fillId="2" borderId="20" xfId="1" applyBorder="1"/>
    <xf numFmtId="0" fontId="1" fillId="2" borderId="22" xfId="1" applyBorder="1"/>
    <xf numFmtId="0" fontId="1" fillId="2" borderId="13" xfId="1" applyFont="1" applyBorder="1"/>
    <xf numFmtId="0" fontId="1" fillId="2" borderId="11" xfId="1" applyFont="1" applyBorder="1"/>
    <xf numFmtId="0" fontId="1" fillId="2" borderId="21" xfId="1" applyFont="1" applyBorder="1"/>
    <xf numFmtId="0" fontId="0" fillId="0" borderId="23" xfId="0" applyBorder="1"/>
    <xf numFmtId="0" fontId="1" fillId="2" borderId="17" xfId="1" applyFont="1" applyBorder="1"/>
    <xf numFmtId="0" fontId="0" fillId="0" borderId="17" xfId="0" applyFill="1" applyBorder="1"/>
    <xf numFmtId="0" fontId="0" fillId="0" borderId="2" xfId="0" applyFont="1" applyBorder="1"/>
    <xf numFmtId="0" fontId="2" fillId="0" borderId="17" xfId="0" applyFont="1" applyFill="1" applyBorder="1"/>
    <xf numFmtId="0" fontId="0" fillId="0" borderId="15" xfId="0" applyFont="1" applyBorder="1"/>
    <xf numFmtId="0" fontId="2" fillId="2" borderId="2" xfId="1" applyFont="1" applyBorder="1"/>
    <xf numFmtId="0" fontId="2" fillId="0" borderId="15" xfId="0" applyFont="1" applyBorder="1"/>
    <xf numFmtId="0" fontId="1" fillId="2" borderId="25" xfId="1" applyBorder="1"/>
    <xf numFmtId="0" fontId="1" fillId="2" borderId="2" xfId="1" applyFont="1" applyBorder="1"/>
    <xf numFmtId="0" fontId="0" fillId="0" borderId="28" xfId="0" applyBorder="1"/>
    <xf numFmtId="0" fontId="0" fillId="0" borderId="29" xfId="0" applyBorder="1"/>
    <xf numFmtId="0" fontId="0" fillId="0" borderId="34" xfId="0" applyBorder="1"/>
    <xf numFmtId="0" fontId="0" fillId="0" borderId="18" xfId="0" applyBorder="1"/>
    <xf numFmtId="0" fontId="0" fillId="0" borderId="29" xfId="0" applyFill="1" applyBorder="1"/>
    <xf numFmtId="0" fontId="0" fillId="0" borderId="38" xfId="0" applyFill="1" applyBorder="1"/>
    <xf numFmtId="0" fontId="2" fillId="0" borderId="2" xfId="0" applyFont="1" applyBorder="1"/>
    <xf numFmtId="0" fontId="0" fillId="0" borderId="40" xfId="0" applyBorder="1"/>
    <xf numFmtId="0" fontId="0" fillId="0" borderId="38" xfId="0" applyBorder="1"/>
    <xf numFmtId="0" fontId="0" fillId="0" borderId="5" xfId="0" applyBorder="1"/>
    <xf numFmtId="0" fontId="0" fillId="0" borderId="6" xfId="0" applyFill="1" applyBorder="1"/>
    <xf numFmtId="0" fontId="0" fillId="0" borderId="16" xfId="0" applyFill="1" applyBorder="1"/>
    <xf numFmtId="0" fontId="1" fillId="2" borderId="24" xfId="1" applyBorder="1"/>
    <xf numFmtId="0" fontId="2" fillId="0" borderId="8" xfId="0" applyFont="1" applyBorder="1"/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topLeftCell="F1" zoomScale="190" zoomScaleNormal="190" workbookViewId="0">
      <selection activeCell="J37" sqref="J37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4" width="12.42578125" bestFit="1" customWidth="1"/>
    <col min="5" max="5" width="20.5703125" bestFit="1" customWidth="1"/>
    <col min="6" max="6" width="12.42578125" bestFit="1" customWidth="1"/>
    <col min="7" max="7" width="6.140625" bestFit="1" customWidth="1"/>
    <col min="8" max="8" width="10.7109375" bestFit="1" customWidth="1"/>
    <col min="9" max="9" width="20.5703125" bestFit="1" customWidth="1"/>
    <col min="10" max="10" width="11" bestFit="1" customWidth="1"/>
    <col min="11" max="12" width="12.42578125" customWidth="1"/>
    <col min="13" max="13" width="20.5703125" bestFit="1" customWidth="1"/>
    <col min="14" max="14" width="12.42578125" customWidth="1"/>
    <col min="15" max="15" width="6.140625" bestFit="1" customWidth="1"/>
    <col min="16" max="16" width="10.7109375" bestFit="1" customWidth="1"/>
    <col min="17" max="17" width="20.5703125" bestFit="1" customWidth="1"/>
    <col min="18" max="18" width="11" bestFit="1" customWidth="1"/>
  </cols>
  <sheetData>
    <row r="1" spans="1:19" ht="15.75" thickBot="1" x14ac:dyDescent="0.3">
      <c r="A1" s="64" t="s">
        <v>0</v>
      </c>
      <c r="B1" s="65" t="s">
        <v>1</v>
      </c>
      <c r="C1" s="56" t="s">
        <v>13</v>
      </c>
      <c r="D1" s="57"/>
      <c r="E1" s="57"/>
      <c r="F1" s="57"/>
      <c r="G1" s="57"/>
      <c r="H1" s="57"/>
      <c r="I1" s="57"/>
      <c r="J1" s="58"/>
      <c r="K1" s="59" t="s">
        <v>14</v>
      </c>
      <c r="L1" s="60"/>
      <c r="M1" s="60"/>
      <c r="N1" s="60"/>
      <c r="O1" s="60"/>
      <c r="P1" s="60"/>
      <c r="Q1" s="60"/>
      <c r="R1" s="61"/>
      <c r="S1" s="32"/>
    </row>
    <row r="2" spans="1:19" ht="16.5" thickTop="1" thickBot="1" x14ac:dyDescent="0.3">
      <c r="A2" s="62"/>
      <c r="B2" s="66"/>
      <c r="C2" s="67" t="s">
        <v>2</v>
      </c>
      <c r="D2" s="68"/>
      <c r="E2" s="68"/>
      <c r="F2" s="69"/>
      <c r="G2" s="73" t="s">
        <v>3</v>
      </c>
      <c r="H2" s="68"/>
      <c r="I2" s="68"/>
      <c r="J2" s="74"/>
      <c r="K2" s="67" t="s">
        <v>2</v>
      </c>
      <c r="L2" s="68"/>
      <c r="M2" s="68"/>
      <c r="N2" s="69"/>
      <c r="O2" s="70" t="s">
        <v>3</v>
      </c>
      <c r="P2" s="71"/>
      <c r="Q2" s="71"/>
      <c r="R2" s="72"/>
    </row>
    <row r="3" spans="1:19" x14ac:dyDescent="0.25">
      <c r="A3" s="62"/>
      <c r="B3" s="66"/>
      <c r="C3" s="42" t="s">
        <v>4</v>
      </c>
      <c r="D3" s="43" t="s">
        <v>12</v>
      </c>
      <c r="E3" s="43" t="s">
        <v>15</v>
      </c>
      <c r="F3" s="44" t="s">
        <v>16</v>
      </c>
      <c r="G3" s="45" t="s">
        <v>4</v>
      </c>
      <c r="H3" s="43" t="s">
        <v>12</v>
      </c>
      <c r="I3" s="46" t="s">
        <v>15</v>
      </c>
      <c r="J3" s="47" t="s">
        <v>16</v>
      </c>
      <c r="K3" s="49" t="s">
        <v>4</v>
      </c>
      <c r="L3" s="43" t="s">
        <v>12</v>
      </c>
      <c r="M3" s="43" t="s">
        <v>15</v>
      </c>
      <c r="N3" s="50" t="s">
        <v>16</v>
      </c>
      <c r="O3" s="51" t="s">
        <v>4</v>
      </c>
      <c r="P3" s="16" t="s">
        <v>12</v>
      </c>
      <c r="Q3" s="52" t="s">
        <v>15</v>
      </c>
      <c r="R3" s="53" t="s">
        <v>16</v>
      </c>
      <c r="S3" s="32"/>
    </row>
    <row r="4" spans="1:19" x14ac:dyDescent="0.25">
      <c r="A4" s="62" t="s">
        <v>5</v>
      </c>
      <c r="B4" s="8" t="s">
        <v>6</v>
      </c>
      <c r="C4" s="22">
        <v>11551.57</v>
      </c>
      <c r="D4" s="1">
        <v>11581.82</v>
      </c>
      <c r="E4" s="3">
        <v>54.140219999999999</v>
      </c>
      <c r="F4" s="8">
        <v>97.218159999999997</v>
      </c>
      <c r="G4" s="12">
        <v>22</v>
      </c>
      <c r="H4" s="1">
        <v>22</v>
      </c>
      <c r="I4" s="3">
        <v>24</v>
      </c>
      <c r="J4" s="48">
        <v>24</v>
      </c>
      <c r="K4" s="37">
        <v>34344.720000000001</v>
      </c>
      <c r="L4" s="2">
        <v>34215.57</v>
      </c>
      <c r="M4" s="3">
        <v>39.283949999999997</v>
      </c>
      <c r="N4" s="35">
        <v>111.86499999999999</v>
      </c>
      <c r="O4" s="12">
        <v>23</v>
      </c>
      <c r="P4" s="1">
        <v>23</v>
      </c>
      <c r="Q4" s="3">
        <v>24</v>
      </c>
      <c r="R4" s="36">
        <v>24</v>
      </c>
    </row>
    <row r="5" spans="1:19" x14ac:dyDescent="0.25">
      <c r="A5" s="62"/>
      <c r="B5" s="8" t="s">
        <v>7</v>
      </c>
      <c r="C5" s="22">
        <v>23482.82</v>
      </c>
      <c r="D5" s="1">
        <v>19325.95</v>
      </c>
      <c r="E5" s="3">
        <v>15233.04</v>
      </c>
      <c r="F5" s="8">
        <v>16175.9</v>
      </c>
      <c r="G5" s="12">
        <v>20</v>
      </c>
      <c r="H5" s="1">
        <v>21</v>
      </c>
      <c r="I5" s="1">
        <v>21</v>
      </c>
      <c r="J5" s="8">
        <v>21</v>
      </c>
      <c r="K5" s="22">
        <v>94863.83</v>
      </c>
      <c r="L5" s="2">
        <v>78119.259999999995</v>
      </c>
      <c r="M5" s="3">
        <v>75611.100000000006</v>
      </c>
      <c r="N5" s="35">
        <v>76224.36</v>
      </c>
      <c r="O5" s="12">
        <v>21</v>
      </c>
      <c r="P5" s="2">
        <v>21</v>
      </c>
      <c r="Q5" s="2">
        <v>21</v>
      </c>
      <c r="R5" s="35">
        <v>21</v>
      </c>
      <c r="S5" s="32"/>
    </row>
    <row r="6" spans="1:19" x14ac:dyDescent="0.25">
      <c r="A6" s="62"/>
      <c r="B6" s="23" t="s">
        <v>8</v>
      </c>
      <c r="C6" s="10">
        <v>42232.97</v>
      </c>
      <c r="D6" s="1">
        <v>45355.96</v>
      </c>
      <c r="E6" s="1">
        <v>45281.36</v>
      </c>
      <c r="F6" s="48">
        <v>40483.01</v>
      </c>
      <c r="G6" s="17">
        <v>17</v>
      </c>
      <c r="H6" s="1">
        <v>16</v>
      </c>
      <c r="I6" s="1">
        <v>16</v>
      </c>
      <c r="J6" s="48">
        <v>17</v>
      </c>
      <c r="K6" s="37">
        <v>157909.4</v>
      </c>
      <c r="L6" s="1">
        <v>177800.6</v>
      </c>
      <c r="M6" s="3">
        <v>161781.70000000001</v>
      </c>
      <c r="N6" s="8">
        <v>168514.9</v>
      </c>
      <c r="O6" s="17">
        <v>19</v>
      </c>
      <c r="P6" s="1">
        <v>18</v>
      </c>
      <c r="Q6" s="3">
        <v>19</v>
      </c>
      <c r="R6" s="23">
        <v>18</v>
      </c>
    </row>
    <row r="7" spans="1:19" x14ac:dyDescent="0.25">
      <c r="A7" s="62"/>
      <c r="B7" s="9" t="s">
        <v>9</v>
      </c>
      <c r="C7" s="25">
        <f t="shared" ref="C7:J7" si="0">SUM(C4:C6)</f>
        <v>77267.360000000001</v>
      </c>
      <c r="D7" s="5">
        <f t="shared" si="0"/>
        <v>76263.73</v>
      </c>
      <c r="E7" s="5">
        <f t="shared" si="0"/>
        <v>60568.540220000003</v>
      </c>
      <c r="F7" s="38">
        <f t="shared" si="0"/>
        <v>56756.12816</v>
      </c>
      <c r="G7" s="15">
        <f t="shared" si="0"/>
        <v>59</v>
      </c>
      <c r="H7" s="5">
        <f t="shared" si="0"/>
        <v>59</v>
      </c>
      <c r="I7" s="5">
        <f t="shared" si="0"/>
        <v>61</v>
      </c>
      <c r="J7" s="38">
        <f t="shared" si="0"/>
        <v>62</v>
      </c>
      <c r="K7" s="25">
        <f>SUM(K4:K6)</f>
        <v>287117.95</v>
      </c>
      <c r="L7" s="5">
        <f t="shared" ref="L7:R7" si="1">SUM(L4:L6)</f>
        <v>290135.43</v>
      </c>
      <c r="M7" s="4">
        <f t="shared" si="1"/>
        <v>237432.08395</v>
      </c>
      <c r="N7" s="41">
        <f t="shared" si="1"/>
        <v>244851.125</v>
      </c>
      <c r="O7" s="15">
        <f t="shared" si="1"/>
        <v>63</v>
      </c>
      <c r="P7" s="5">
        <f t="shared" si="1"/>
        <v>62</v>
      </c>
      <c r="Q7" s="4">
        <f t="shared" si="1"/>
        <v>64</v>
      </c>
      <c r="R7" s="33">
        <f t="shared" si="1"/>
        <v>63</v>
      </c>
    </row>
    <row r="8" spans="1:19" x14ac:dyDescent="0.25">
      <c r="A8" s="62" t="s">
        <v>10</v>
      </c>
      <c r="B8" s="8" t="s">
        <v>6</v>
      </c>
      <c r="C8" s="22">
        <v>12.791449999999999</v>
      </c>
      <c r="D8" s="1">
        <v>14.224410000000001</v>
      </c>
      <c r="E8" s="1">
        <v>9.8624510000000001</v>
      </c>
      <c r="F8" s="48">
        <v>7.7391180000000004</v>
      </c>
      <c r="G8" s="12">
        <v>24</v>
      </c>
      <c r="H8" s="1">
        <v>24</v>
      </c>
      <c r="I8" s="1">
        <v>24</v>
      </c>
      <c r="J8" s="8">
        <v>24</v>
      </c>
      <c r="K8" s="37">
        <v>14.38308</v>
      </c>
      <c r="L8" s="1">
        <v>15.44408</v>
      </c>
      <c r="M8" s="1">
        <v>12.878069999999999</v>
      </c>
      <c r="N8" s="48">
        <v>6.2727170000000001</v>
      </c>
      <c r="O8" s="12">
        <v>24</v>
      </c>
      <c r="P8" s="1">
        <v>24</v>
      </c>
      <c r="Q8" s="7">
        <v>24</v>
      </c>
      <c r="R8" s="34">
        <v>24</v>
      </c>
    </row>
    <row r="9" spans="1:19" x14ac:dyDescent="0.25">
      <c r="A9" s="62"/>
      <c r="B9" s="23" t="s">
        <v>7</v>
      </c>
      <c r="C9" s="11">
        <v>10479.68</v>
      </c>
      <c r="D9" s="1">
        <v>10613.25</v>
      </c>
      <c r="E9" s="1">
        <v>15015.12</v>
      </c>
      <c r="F9" s="8">
        <v>15015.56</v>
      </c>
      <c r="G9" s="17">
        <v>22</v>
      </c>
      <c r="H9" s="3">
        <v>22</v>
      </c>
      <c r="I9" s="1">
        <v>21</v>
      </c>
      <c r="J9" s="8">
        <v>21</v>
      </c>
      <c r="K9" s="39">
        <v>50450.14</v>
      </c>
      <c r="L9" s="2">
        <v>50516.14</v>
      </c>
      <c r="M9" s="2">
        <v>75015.08</v>
      </c>
      <c r="N9" s="35">
        <v>75014.92</v>
      </c>
      <c r="O9" s="17">
        <v>22</v>
      </c>
      <c r="P9" s="3">
        <v>22</v>
      </c>
      <c r="Q9" s="7">
        <v>21</v>
      </c>
      <c r="R9" s="34">
        <v>21</v>
      </c>
    </row>
    <row r="10" spans="1:19" x14ac:dyDescent="0.25">
      <c r="A10" s="62"/>
      <c r="B10" s="23" t="s">
        <v>8</v>
      </c>
      <c r="C10" s="10">
        <v>10726.8</v>
      </c>
      <c r="D10" s="1">
        <v>12154.9</v>
      </c>
      <c r="E10" s="1">
        <v>10582.56</v>
      </c>
      <c r="F10" s="55">
        <v>10330.41</v>
      </c>
      <c r="G10" s="10">
        <v>22</v>
      </c>
      <c r="H10" s="1">
        <v>22</v>
      </c>
      <c r="I10" s="1">
        <v>22</v>
      </c>
      <c r="J10" s="8">
        <v>22</v>
      </c>
      <c r="K10" s="37">
        <v>53959.21</v>
      </c>
      <c r="L10" s="2">
        <v>52765.21</v>
      </c>
      <c r="M10" s="2">
        <v>53654.44</v>
      </c>
      <c r="N10" s="48">
        <v>50163.76</v>
      </c>
      <c r="O10" s="12">
        <v>22</v>
      </c>
      <c r="P10" s="1">
        <v>22</v>
      </c>
      <c r="Q10" s="18">
        <v>22</v>
      </c>
      <c r="R10" s="34">
        <v>22</v>
      </c>
    </row>
    <row r="11" spans="1:19" x14ac:dyDescent="0.25">
      <c r="A11" s="62"/>
      <c r="B11" s="9" t="s">
        <v>9</v>
      </c>
      <c r="C11" s="24">
        <f t="shared" ref="C11:J11" si="2">SUM(C8:C10)</f>
        <v>21219.27145</v>
      </c>
      <c r="D11" s="5">
        <f t="shared" si="2"/>
        <v>22782.37441</v>
      </c>
      <c r="E11" s="5">
        <f t="shared" si="2"/>
        <v>25607.542451000001</v>
      </c>
      <c r="F11" s="41">
        <f t="shared" si="2"/>
        <v>25353.709117999999</v>
      </c>
      <c r="G11" s="14">
        <f t="shared" si="2"/>
        <v>68</v>
      </c>
      <c r="H11" s="4">
        <f t="shared" si="2"/>
        <v>68</v>
      </c>
      <c r="I11" s="5">
        <f t="shared" si="2"/>
        <v>67</v>
      </c>
      <c r="J11" s="41">
        <f t="shared" si="2"/>
        <v>67</v>
      </c>
      <c r="K11" s="25">
        <f>SUM(K8:K10)</f>
        <v>104423.73308000001</v>
      </c>
      <c r="L11" s="4">
        <f t="shared" ref="L11:R11" si="3">SUM(L8:L10)</f>
        <v>103296.79407999999</v>
      </c>
      <c r="M11" s="5">
        <f t="shared" si="3"/>
        <v>128682.39807000001</v>
      </c>
      <c r="N11" s="41">
        <f t="shared" si="3"/>
        <v>125184.95271700001</v>
      </c>
      <c r="O11" s="14">
        <f t="shared" si="3"/>
        <v>68</v>
      </c>
      <c r="P11" s="4">
        <f t="shared" si="3"/>
        <v>68</v>
      </c>
      <c r="Q11" s="5">
        <f t="shared" si="3"/>
        <v>67</v>
      </c>
      <c r="R11" s="33">
        <f t="shared" si="3"/>
        <v>67</v>
      </c>
    </row>
    <row r="12" spans="1:19" x14ac:dyDescent="0.25">
      <c r="A12" s="62" t="s">
        <v>11</v>
      </c>
      <c r="B12" s="8" t="s">
        <v>6</v>
      </c>
      <c r="C12" s="22">
        <v>5.5141489999999997</v>
      </c>
      <c r="D12" s="1">
        <v>6.8848370000000001</v>
      </c>
      <c r="E12" s="3">
        <v>5.0117919999999998</v>
      </c>
      <c r="F12" s="21">
        <v>5.1656820000000003</v>
      </c>
      <c r="G12" s="12">
        <v>24</v>
      </c>
      <c r="H12" s="1">
        <v>24</v>
      </c>
      <c r="I12" s="1">
        <v>24</v>
      </c>
      <c r="J12" s="8">
        <v>24</v>
      </c>
      <c r="K12" s="22">
        <v>5.5141489999999997</v>
      </c>
      <c r="L12" s="1">
        <v>6.8848370000000001</v>
      </c>
      <c r="M12" s="3">
        <v>5.0117919999999998</v>
      </c>
      <c r="N12" s="21">
        <v>5.1656820000000003</v>
      </c>
      <c r="O12" s="12">
        <v>24</v>
      </c>
      <c r="P12" s="1">
        <v>24</v>
      </c>
      <c r="Q12" s="1">
        <v>24</v>
      </c>
      <c r="R12" s="23">
        <v>24</v>
      </c>
    </row>
    <row r="13" spans="1:19" x14ac:dyDescent="0.25">
      <c r="A13" s="62"/>
      <c r="B13" s="8" t="s">
        <v>7</v>
      </c>
      <c r="C13" s="39">
        <v>20.039566000000001</v>
      </c>
      <c r="D13" s="1">
        <v>27.71228</v>
      </c>
      <c r="E13" s="8">
        <v>31.30386</v>
      </c>
      <c r="F13" s="13">
        <v>30.177320000000002</v>
      </c>
      <c r="G13" s="12">
        <v>24</v>
      </c>
      <c r="H13" s="1">
        <v>24</v>
      </c>
      <c r="I13" s="1">
        <v>24</v>
      </c>
      <c r="J13" s="8">
        <v>24</v>
      </c>
      <c r="K13" s="39">
        <v>20.039566000000001</v>
      </c>
      <c r="L13" s="1">
        <v>27.71228</v>
      </c>
      <c r="M13" s="8">
        <v>31.30386</v>
      </c>
      <c r="N13" s="13">
        <v>30.177320000000002</v>
      </c>
      <c r="O13" s="12">
        <v>24</v>
      </c>
      <c r="P13" s="1">
        <v>24</v>
      </c>
      <c r="Q13" s="1">
        <v>24</v>
      </c>
      <c r="R13" s="8">
        <v>24</v>
      </c>
      <c r="S13" s="32"/>
    </row>
    <row r="14" spans="1:19" x14ac:dyDescent="0.25">
      <c r="A14" s="62"/>
      <c r="B14" s="23" t="s">
        <v>8</v>
      </c>
      <c r="C14" s="11">
        <v>21.049119999999998</v>
      </c>
      <c r="D14" s="1">
        <v>22.740290000000002</v>
      </c>
      <c r="E14" s="8">
        <v>25.263829999999999</v>
      </c>
      <c r="F14" s="13">
        <v>23.64818</v>
      </c>
      <c r="G14" s="12">
        <v>24</v>
      </c>
      <c r="H14" s="1">
        <v>24</v>
      </c>
      <c r="I14" s="1">
        <v>24</v>
      </c>
      <c r="J14" s="8">
        <v>24</v>
      </c>
      <c r="K14" s="39">
        <v>21.049119999999998</v>
      </c>
      <c r="L14" s="1">
        <v>22.740290000000002</v>
      </c>
      <c r="M14" s="8">
        <v>25.263829999999999</v>
      </c>
      <c r="N14" s="13">
        <v>23.64818</v>
      </c>
      <c r="O14" s="12">
        <v>24</v>
      </c>
      <c r="P14" s="1">
        <v>24</v>
      </c>
      <c r="Q14" s="1">
        <v>24</v>
      </c>
      <c r="R14" s="8">
        <v>24</v>
      </c>
      <c r="S14" s="32"/>
    </row>
    <row r="15" spans="1:19" ht="15.75" thickBot="1" x14ac:dyDescent="0.3">
      <c r="A15" s="63"/>
      <c r="B15" s="27" t="s">
        <v>9</v>
      </c>
      <c r="C15" s="26">
        <f>SUM(C12:C14)</f>
        <v>46.602834999999999</v>
      </c>
      <c r="D15" s="20">
        <f t="shared" ref="D15:J15" si="4">SUM(D12:D14)</f>
        <v>57.337406999999999</v>
      </c>
      <c r="E15" s="30">
        <f t="shared" si="4"/>
        <v>61.579481999999999</v>
      </c>
      <c r="F15" s="27">
        <f>SUM(F12:F14)</f>
        <v>58.991181999999995</v>
      </c>
      <c r="G15" s="29">
        <f t="shared" si="4"/>
        <v>72</v>
      </c>
      <c r="H15" s="20">
        <f t="shared" si="4"/>
        <v>72</v>
      </c>
      <c r="I15" s="31">
        <f t="shared" si="4"/>
        <v>72</v>
      </c>
      <c r="J15" s="40">
        <f t="shared" si="4"/>
        <v>72</v>
      </c>
      <c r="K15" s="26">
        <f>SUM(K12:K14)</f>
        <v>46.602834999999999</v>
      </c>
      <c r="L15" s="20">
        <f t="shared" ref="L15" si="5">SUM(L12:L14)</f>
        <v>57.337406999999999</v>
      </c>
      <c r="M15" s="30">
        <f t="shared" ref="M15" si="6">SUM(M12:M14)</f>
        <v>61.579481999999999</v>
      </c>
      <c r="N15" s="28">
        <f>SUM(N12:N14)</f>
        <v>58.991181999999995</v>
      </c>
      <c r="O15" s="29">
        <f t="shared" ref="O15" si="7">SUM(O12:O14)</f>
        <v>72</v>
      </c>
      <c r="P15" s="20">
        <f t="shared" ref="P15" si="8">SUM(P12:P14)</f>
        <v>72</v>
      </c>
      <c r="Q15" s="30">
        <f t="shared" ref="Q15" si="9">SUM(Q12:Q14)</f>
        <v>72</v>
      </c>
      <c r="R15" s="54">
        <f t="shared" ref="R15" si="10">SUM(R12:R14)</f>
        <v>72</v>
      </c>
    </row>
    <row r="16" spans="1:19" ht="15.75" thickTop="1" x14ac:dyDescent="0.25">
      <c r="A16" s="19"/>
      <c r="B16" s="19"/>
      <c r="C16" s="19"/>
      <c r="F16" s="19"/>
      <c r="G16" s="19"/>
      <c r="I16" s="19"/>
      <c r="P16" s="19"/>
      <c r="R16" s="19"/>
    </row>
    <row r="17" spans="4:6" x14ac:dyDescent="0.25">
      <c r="D17" s="6"/>
    </row>
    <row r="18" spans="4:6" x14ac:dyDescent="0.25">
      <c r="D18" s="6"/>
      <c r="F18" s="6"/>
    </row>
    <row r="19" spans="4:6" x14ac:dyDescent="0.25">
      <c r="D19" s="6"/>
    </row>
  </sheetData>
  <mergeCells count="11">
    <mergeCell ref="C1:J1"/>
    <mergeCell ref="K1:R1"/>
    <mergeCell ref="A12:A15"/>
    <mergeCell ref="A1:A3"/>
    <mergeCell ref="B1:B3"/>
    <mergeCell ref="K2:N2"/>
    <mergeCell ref="O2:R2"/>
    <mergeCell ref="C2:F2"/>
    <mergeCell ref="G2:J2"/>
    <mergeCell ref="A4:A7"/>
    <mergeCell ref="A8:A1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2026-03-04T13:47:55Z</dcterms:created>
  <dcterms:modified xsi:type="dcterms:W3CDTF">2026-03-05T05:24:54Z</dcterms:modified>
</cp:coreProperties>
</file>