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16" i="1" l="1"/>
  <c r="G12" i="1"/>
  <c r="G8" i="1"/>
  <c r="L16" i="1"/>
  <c r="L12" i="1"/>
  <c r="L8" i="1"/>
  <c r="J12" i="1" l="1"/>
  <c r="K16" i="1" l="1"/>
  <c r="J16" i="1"/>
  <c r="I16" i="1"/>
  <c r="H16" i="1"/>
  <c r="F16" i="1"/>
  <c r="E16" i="1"/>
  <c r="D16" i="1"/>
  <c r="C16" i="1"/>
  <c r="K12" i="1"/>
  <c r="I12" i="1"/>
  <c r="H12" i="1"/>
  <c r="F12" i="1"/>
  <c r="E12" i="1"/>
  <c r="D12" i="1"/>
  <c r="C12" i="1"/>
  <c r="K8" i="1"/>
  <c r="J8" i="1"/>
  <c r="I8" i="1"/>
  <c r="H8" i="1"/>
  <c r="F8" i="1"/>
  <c r="E8" i="1"/>
  <c r="D8" i="1"/>
  <c r="C8" i="1"/>
</calcChain>
</file>

<file path=xl/sharedStrings.xml><?xml version="1.0" encoding="utf-8"?>
<sst xmlns="http://schemas.openxmlformats.org/spreadsheetml/2006/main" count="30" uniqueCount="17">
  <si>
    <t>Objective function</t>
  </si>
  <si>
    <t>Set</t>
  </si>
  <si>
    <t>120 seconds timeout</t>
  </si>
  <si>
    <t>Average time (ms)</t>
  </si>
  <si>
    <t>#Solved</t>
  </si>
  <si>
    <t>Paper</t>
  </si>
  <si>
    <t>SAT Incr Totalizer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</si>
  <si>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</si>
  <si>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</si>
  <si>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</si>
  <si>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</si>
  <si>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</si>
  <si>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</si>
  <si>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</si>
  <si>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MIP</t>
  </si>
  <si>
    <t>BigM</t>
  </si>
  <si>
    <t>SAT Incr Bit Totalizer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</si>
</sst>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8">
    <xf numFmtId="0" fontId="0" fillId="0" borderId="0" xfId="0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21" xfId="0" applyFont="1" applyBorder="1"/>
    <xf numFmtId="0" fontId="2" fillId="0" borderId="24" xfId="0" applyFont="1" applyBorder="1"/>
    <xf numFmtId="0" fontId="0" fillId="0" borderId="25" xfId="0" applyBorder="1"/>
    <xf numFmtId="0" fontId="0" fillId="0" borderId="22" xfId="0" applyFont="1" applyBorder="1"/>
    <xf numFmtId="0" fontId="0" fillId="0" borderId="26" xfId="0" applyBorder="1"/>
    <xf numFmtId="0" fontId="0" fillId="0" borderId="27" xfId="0" applyFont="1" applyBorder="1"/>
    <xf numFmtId="0" fontId="2" fillId="0" borderId="28" xfId="0" applyFont="1" applyBorder="1"/>
    <xf numFmtId="0" fontId="0" fillId="0" borderId="28" xfId="0" applyBorder="1"/>
    <xf numFmtId="0" fontId="0" fillId="0" borderId="29" xfId="0" applyBorder="1"/>
    <xf numFmtId="0" fontId="2" fillId="0" borderId="29" xfId="0" applyFont="1" applyBorder="1"/>
    <xf numFmtId="0" fontId="0" fillId="0" borderId="31" xfId="0" applyFont="1" applyBorder="1"/>
    <xf numFmtId="0" fontId="0" fillId="0" borderId="28" xfId="0" applyFont="1" applyBorder="1"/>
    <xf numFmtId="0" fontId="0" fillId="0" borderId="32" xfId="0" applyBorder="1"/>
    <xf numFmtId="0" fontId="0" fillId="0" borderId="33" xfId="0" applyBorder="1"/>
    <xf numFmtId="0" fontId="2" fillId="0" borderId="34" xfId="0" applyFont="1" applyBorder="1"/>
    <xf numFmtId="0" fontId="0" fillId="0" borderId="34" xfId="0" applyBorder="1"/>
    <xf numFmtId="0" fontId="0" fillId="0" borderId="35" xfId="0" applyFont="1" applyBorder="1"/>
    <xf numFmtId="0" fontId="0" fillId="0" borderId="36" xfId="0" applyFont="1" applyBorder="1"/>
    <xf numFmtId="0" fontId="2" fillId="0" borderId="36" xfId="0" applyFont="1" applyBorder="1"/>
    <xf numFmtId="0" fontId="1" fillId="3" borderId="37" xfId="2" applyBorder="1"/>
    <xf numFmtId="0" fontId="1" fillId="3" borderId="38" xfId="2" applyBorder="1"/>
    <xf numFmtId="0" fontId="1" fillId="3" borderId="40" xfId="2" applyBorder="1"/>
    <xf numFmtId="0" fontId="1" fillId="3" borderId="17" xfId="2" applyFont="1" applyBorder="1"/>
    <xf numFmtId="0" fontId="2" fillId="3" borderId="40" xfId="2" applyFont="1" applyBorder="1"/>
    <xf numFmtId="0" fontId="0" fillId="0" borderId="43" xfId="0" applyBorder="1"/>
    <xf numFmtId="0" fontId="0" fillId="0" borderId="24" xfId="0" applyBorder="1"/>
    <xf numFmtId="0" fontId="0" fillId="0" borderId="44" xfId="0" applyFont="1" applyBorder="1"/>
    <xf numFmtId="0" fontId="0" fillId="0" borderId="44" xfId="0" applyBorder="1"/>
    <xf numFmtId="0" fontId="0" fillId="0" borderId="2" xfId="0" applyBorder="1"/>
    <xf numFmtId="0" fontId="0" fillId="0" borderId="45" xfId="0" applyBorder="1"/>
    <xf numFmtId="0" fontId="0" fillId="0" borderId="30" xfId="0" applyBorder="1"/>
    <xf numFmtId="0" fontId="0" fillId="0" borderId="29" xfId="0" applyFont="1" applyBorder="1"/>
    <xf numFmtId="0" fontId="0" fillId="0" borderId="46" xfId="0" applyBorder="1"/>
    <xf numFmtId="0" fontId="0" fillId="0" borderId="47" xfId="0" applyBorder="1"/>
    <xf numFmtId="0" fontId="0" fillId="0" borderId="47" xfId="0" applyFont="1" applyBorder="1"/>
    <xf numFmtId="0" fontId="2" fillId="0" borderId="48" xfId="0" applyFont="1" applyBorder="1"/>
    <xf numFmtId="0" fontId="1" fillId="3" borderId="49" xfId="2" applyBorder="1"/>
    <xf numFmtId="0" fontId="1" fillId="3" borderId="41" xfId="2" applyBorder="1"/>
    <xf numFmtId="0" fontId="1" fillId="3" borderId="40" xfId="2" applyFont="1" applyBorder="1"/>
    <xf numFmtId="0" fontId="0" fillId="0" borderId="50" xfId="0" applyBorder="1"/>
    <xf numFmtId="0" fontId="0" fillId="0" borderId="24" xfId="0" applyFont="1" applyBorder="1"/>
    <xf numFmtId="0" fontId="0" fillId="0" borderId="22" xfId="0" applyBorder="1"/>
    <xf numFmtId="0" fontId="0" fillId="0" borderId="52" xfId="0" applyBorder="1"/>
    <xf numFmtId="0" fontId="2" fillId="0" borderId="31" xfId="0" applyFont="1" applyBorder="1"/>
    <xf numFmtId="0" fontId="0" fillId="0" borderId="30" xfId="0" applyFont="1" applyBorder="1"/>
    <xf numFmtId="0" fontId="0" fillId="0" borderId="53" xfId="0" applyBorder="1"/>
    <xf numFmtId="0" fontId="2" fillId="0" borderId="33" xfId="0" applyFont="1" applyBorder="1"/>
    <xf numFmtId="0" fontId="0" fillId="0" borderId="34" xfId="0" applyFont="1" applyBorder="1"/>
    <xf numFmtId="0" fontId="0" fillId="0" borderId="48" xfId="0" applyBorder="1"/>
    <xf numFmtId="0" fontId="1" fillId="3" borderId="4" xfId="2" applyBorder="1"/>
    <xf numFmtId="0" fontId="2" fillId="3" borderId="3" xfId="2" applyFont="1" applyBorder="1"/>
    <xf numFmtId="0" fontId="1" fillId="3" borderId="15" xfId="2" applyFont="1" applyBorder="1"/>
    <xf numFmtId="0" fontId="1" fillId="3" borderId="15" xfId="2" applyBorder="1"/>
    <xf numFmtId="0" fontId="0" fillId="0" borderId="56" xfId="0" applyBorder="1" applyAlignment="1">
      <alignment horizontal="center"/>
    </xf>
    <xf numFmtId="0" fontId="1" fillId="3" borderId="59" xfId="2" applyBorder="1"/>
    <xf numFmtId="0" fontId="0" fillId="0" borderId="0" xfId="0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1" fillId="0" borderId="0" xfId="1" applyFill="1" applyBorder="1"/>
    <xf numFmtId="0" fontId="2" fillId="0" borderId="0" xfId="1" applyFont="1" applyFill="1" applyBorder="1"/>
    <xf numFmtId="0" fontId="1" fillId="0" borderId="0" xfId="1" applyFont="1" applyFill="1" applyBorder="1"/>
    <xf numFmtId="0" fontId="2" fillId="0" borderId="60" xfId="0" applyFont="1" applyFill="1" applyBorder="1"/>
    <xf numFmtId="0" fontId="0" fillId="0" borderId="60" xfId="0" applyNumberFormat="1" applyFill="1" applyBorder="1"/>
    <xf numFmtId="0" fontId="0" fillId="0" borderId="60" xfId="0" applyFont="1" applyFill="1" applyBorder="1"/>
    <xf numFmtId="0" fontId="1" fillId="0" borderId="60" xfId="1" applyFill="1" applyBorder="1"/>
    <xf numFmtId="0" fontId="0" fillId="0" borderId="60" xfId="0" applyFill="1" applyBorder="1" applyAlignment="1">
      <alignment horizontal="center"/>
    </xf>
    <xf numFmtId="0" fontId="0" fillId="0" borderId="60" xfId="0" applyFill="1" applyBorder="1" applyAlignment="1"/>
    <xf numFmtId="0" fontId="0" fillId="0" borderId="61" xfId="0" applyBorder="1"/>
    <xf numFmtId="0" fontId="0" fillId="0" borderId="62" xfId="0" applyFont="1" applyBorder="1"/>
    <xf numFmtId="0" fontId="1" fillId="3" borderId="37" xfId="2" applyFont="1" applyBorder="1"/>
    <xf numFmtId="0" fontId="1" fillId="3" borderId="63" xfId="2" applyFont="1" applyBorder="1"/>
    <xf numFmtId="0" fontId="0" fillId="0" borderId="51" xfId="0" applyBorder="1"/>
    <xf numFmtId="0" fontId="0" fillId="0" borderId="31" xfId="0" applyBorder="1"/>
    <xf numFmtId="0" fontId="0" fillId="0" borderId="62" xfId="0" applyBorder="1"/>
    <xf numFmtId="0" fontId="2" fillId="3" borderId="58" xfId="2" applyFont="1" applyBorder="1"/>
    <xf numFmtId="0" fontId="0" fillId="0" borderId="55" xfId="0" applyBorder="1" applyAlignment="1">
      <alignment horizontal="center"/>
    </xf>
    <xf numFmtId="0" fontId="0" fillId="0" borderId="8" xfId="0" applyBorder="1"/>
    <xf numFmtId="0" fontId="0" fillId="0" borderId="36" xfId="0" applyBorder="1"/>
    <xf numFmtId="0" fontId="1" fillId="3" borderId="14" xfId="2" applyBorder="1"/>
    <xf numFmtId="0" fontId="1" fillId="3" borderId="13" xfId="2" applyBorder="1"/>
    <xf numFmtId="0" fontId="1" fillId="3" borderId="64" xfId="2" applyBorder="1"/>
    <xf numFmtId="0" fontId="2" fillId="3" borderId="65" xfId="2" applyFont="1" applyBorder="1"/>
    <xf numFmtId="0" fontId="2" fillId="0" borderId="35" xfId="0" applyFont="1" applyBorder="1"/>
    <xf numFmtId="0" fontId="0" fillId="0" borderId="57" xfId="0" applyBorder="1"/>
    <xf numFmtId="0" fontId="0" fillId="0" borderId="23" xfId="0" applyFont="1" applyBorder="1"/>
    <xf numFmtId="0" fontId="1" fillId="3" borderId="39" xfId="2" applyFont="1" applyBorder="1"/>
    <xf numFmtId="0" fontId="0" fillId="0" borderId="8" xfId="0" applyFont="1" applyBorder="1"/>
    <xf numFmtId="0" fontId="0" fillId="0" borderId="21" xfId="0" applyFont="1" applyBorder="1"/>
    <xf numFmtId="0" fontId="0" fillId="0" borderId="66" xfId="0" applyFont="1" applyBorder="1"/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6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3">
    <cellStyle name="20% - Accent2" xfId="1" builtinId="34"/>
    <cellStyle name="20% - Accent5" xfId="2" builtinId="4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zoomScale="175" zoomScaleNormal="175" workbookViewId="0">
      <selection activeCell="D34" sqref="D34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6" width="15.7109375" customWidth="1"/>
    <col min="7" max="7" width="19.28515625" bestFit="1" customWidth="1"/>
    <col min="8" max="10" width="15.7109375" customWidth="1"/>
    <col min="11" max="11" width="16.28515625" bestFit="1" customWidth="1"/>
    <col min="12" max="12" width="19.28515625" bestFit="1" customWidth="1"/>
    <col min="13" max="20" width="15.7109375" customWidth="1"/>
  </cols>
  <sheetData>
    <row r="1" spans="1:23" x14ac:dyDescent="0.25">
      <c r="A1" s="111" t="s">
        <v>0</v>
      </c>
      <c r="B1" s="114" t="s">
        <v>1</v>
      </c>
      <c r="C1" s="107" t="s">
        <v>2</v>
      </c>
      <c r="D1" s="108"/>
      <c r="E1" s="108"/>
      <c r="F1" s="108"/>
      <c r="G1" s="108"/>
      <c r="H1" s="108"/>
      <c r="I1" s="108"/>
      <c r="J1" s="108"/>
      <c r="K1" s="108"/>
      <c r="L1" s="108"/>
      <c r="M1" s="78"/>
      <c r="N1" s="65"/>
      <c r="O1" s="65"/>
      <c r="P1" s="65"/>
      <c r="Q1" s="65"/>
      <c r="R1" s="65"/>
      <c r="S1" s="65"/>
      <c r="T1" s="65"/>
      <c r="U1" s="64"/>
      <c r="V1" s="64"/>
      <c r="W1" s="64"/>
    </row>
    <row r="2" spans="1:23" ht="15.75" thickBot="1" x14ac:dyDescent="0.3">
      <c r="A2" s="112"/>
      <c r="B2" s="115"/>
      <c r="C2" s="109"/>
      <c r="D2" s="110"/>
      <c r="E2" s="110"/>
      <c r="F2" s="110"/>
      <c r="G2" s="110"/>
      <c r="H2" s="110"/>
      <c r="I2" s="110"/>
      <c r="J2" s="110"/>
      <c r="K2" s="110"/>
      <c r="L2" s="110"/>
      <c r="M2" s="78"/>
      <c r="N2" s="65"/>
      <c r="O2" s="65"/>
      <c r="P2" s="65"/>
      <c r="Q2" s="65"/>
      <c r="R2" s="65"/>
      <c r="S2" s="65"/>
      <c r="T2" s="65"/>
      <c r="U2" s="64"/>
      <c r="V2" s="64"/>
      <c r="W2" s="64"/>
    </row>
    <row r="3" spans="1:23" ht="16.5" thickTop="1" thickBot="1" x14ac:dyDescent="0.3">
      <c r="A3" s="113"/>
      <c r="B3" s="116"/>
      <c r="C3" s="104" t="s">
        <v>3</v>
      </c>
      <c r="D3" s="105"/>
      <c r="E3" s="105"/>
      <c r="F3" s="105"/>
      <c r="G3" s="105"/>
      <c r="H3" s="104" t="s">
        <v>4</v>
      </c>
      <c r="I3" s="105"/>
      <c r="J3" s="105"/>
      <c r="K3" s="105"/>
      <c r="L3" s="106"/>
      <c r="M3" s="65"/>
      <c r="N3" s="65"/>
      <c r="O3" s="65"/>
      <c r="P3" s="65"/>
      <c r="Q3" s="65"/>
      <c r="R3" s="65"/>
      <c r="S3" s="65"/>
      <c r="T3" s="65"/>
    </row>
    <row r="4" spans="1:23" ht="15.75" thickBot="1" x14ac:dyDescent="0.3">
      <c r="A4" s="113"/>
      <c r="B4" s="117"/>
      <c r="C4" s="1" t="s">
        <v>5</v>
      </c>
      <c r="D4" s="2" t="s">
        <v>14</v>
      </c>
      <c r="E4" s="3" t="s">
        <v>15</v>
      </c>
      <c r="F4" s="62" t="s">
        <v>6</v>
      </c>
      <c r="G4" s="87" t="s">
        <v>16</v>
      </c>
      <c r="H4" s="1" t="s">
        <v>5</v>
      </c>
      <c r="I4" s="3" t="s">
        <v>14</v>
      </c>
      <c r="J4" s="4" t="s">
        <v>15</v>
      </c>
      <c r="K4" s="5" t="s">
        <v>6</v>
      </c>
      <c r="L4" s="87" t="s">
        <v>16</v>
      </c>
      <c r="M4" s="77"/>
      <c r="N4" s="66"/>
      <c r="O4" s="66"/>
      <c r="P4" s="66"/>
      <c r="Q4" s="66"/>
      <c r="R4" s="66"/>
      <c r="S4" s="66"/>
      <c r="T4" s="66"/>
    </row>
    <row r="5" spans="1:23" ht="15.75" thickTop="1" x14ac:dyDescent="0.25">
      <c r="A5" s="101" t="s">
        <v>7</v>
      </c>
      <c r="B5" s="6" t="s">
        <v>8</v>
      </c>
      <c r="C5" s="7">
        <v>11763.28</v>
      </c>
      <c r="D5" s="8">
        <v>6143.63</v>
      </c>
      <c r="E5" s="9">
        <v>52.665100000000002</v>
      </c>
      <c r="F5" s="12">
        <v>473.90940000000001</v>
      </c>
      <c r="G5" s="96">
        <v>69.869399999999999</v>
      </c>
      <c r="H5" s="79">
        <v>22</v>
      </c>
      <c r="I5" s="99">
        <v>24</v>
      </c>
      <c r="J5" s="8">
        <v>24</v>
      </c>
      <c r="K5" s="100">
        <v>24</v>
      </c>
      <c r="L5" s="96">
        <v>24</v>
      </c>
      <c r="M5" s="75"/>
      <c r="N5" s="68"/>
      <c r="O5" s="69"/>
      <c r="P5" s="67"/>
      <c r="Q5" s="67"/>
      <c r="R5" s="68"/>
      <c r="S5" s="69"/>
      <c r="T5" s="68"/>
    </row>
    <row r="6" spans="1:23" x14ac:dyDescent="0.25">
      <c r="A6" s="101"/>
      <c r="B6" s="13" t="s">
        <v>9</v>
      </c>
      <c r="C6" s="14">
        <v>23035.61</v>
      </c>
      <c r="D6" s="20">
        <v>18573.2</v>
      </c>
      <c r="E6" s="15">
        <v>11871.3</v>
      </c>
      <c r="F6" s="17">
        <v>16095.81</v>
      </c>
      <c r="G6" s="88">
        <v>15633.6</v>
      </c>
      <c r="H6" s="19">
        <v>20</v>
      </c>
      <c r="I6" s="53">
        <v>21</v>
      </c>
      <c r="J6" s="15">
        <v>22</v>
      </c>
      <c r="K6" s="40">
        <v>21</v>
      </c>
      <c r="L6" s="98">
        <v>21</v>
      </c>
      <c r="M6" s="75"/>
      <c r="N6" s="67"/>
      <c r="O6" s="69"/>
      <c r="P6" s="68"/>
      <c r="Q6" s="69"/>
      <c r="R6" s="68"/>
      <c r="S6" s="69"/>
      <c r="T6" s="68"/>
    </row>
    <row r="7" spans="1:23" ht="15.75" thickBot="1" x14ac:dyDescent="0.3">
      <c r="A7" s="101"/>
      <c r="B7" s="21" t="s">
        <v>10</v>
      </c>
      <c r="C7" s="22">
        <v>42557.14</v>
      </c>
      <c r="D7" s="56">
        <v>21564.1</v>
      </c>
      <c r="E7" s="23">
        <v>15245.8</v>
      </c>
      <c r="F7" s="25">
        <v>26595.52</v>
      </c>
      <c r="G7" s="26">
        <v>22134.2</v>
      </c>
      <c r="H7" s="80">
        <v>18</v>
      </c>
      <c r="I7" s="23">
        <v>21</v>
      </c>
      <c r="J7" s="23">
        <v>21</v>
      </c>
      <c r="K7" s="25">
        <v>20</v>
      </c>
      <c r="L7" s="26">
        <v>20</v>
      </c>
      <c r="M7" s="67"/>
      <c r="N7" s="68"/>
      <c r="O7" s="69"/>
      <c r="P7" s="67"/>
      <c r="Q7" s="67"/>
      <c r="R7" s="68"/>
      <c r="S7" s="69"/>
      <c r="T7" s="68"/>
    </row>
    <row r="8" spans="1:23" ht="15.75" thickBot="1" x14ac:dyDescent="0.3">
      <c r="A8" s="101"/>
      <c r="B8" s="28" t="s">
        <v>11</v>
      </c>
      <c r="C8" s="29">
        <f>SUM(C5:C7)</f>
        <v>77356.03</v>
      </c>
      <c r="D8" s="97">
        <f>SUM(D5:D7)</f>
        <v>46280.93</v>
      </c>
      <c r="E8" s="32">
        <f t="shared" ref="E8:L8" si="0">SUM(E5:E7)</f>
        <v>27169.765099999997</v>
      </c>
      <c r="F8" s="31">
        <f t="shared" si="0"/>
        <v>43165.239399999999</v>
      </c>
      <c r="G8" s="82">
        <f t="shared" si="0"/>
        <v>37837.669399999999</v>
      </c>
      <c r="H8" s="81">
        <f t="shared" si="0"/>
        <v>60</v>
      </c>
      <c r="I8" s="47">
        <f t="shared" si="0"/>
        <v>66</v>
      </c>
      <c r="J8" s="32">
        <f t="shared" si="0"/>
        <v>67</v>
      </c>
      <c r="K8" s="31">
        <f t="shared" si="0"/>
        <v>65</v>
      </c>
      <c r="L8" s="31">
        <f t="shared" si="0"/>
        <v>65</v>
      </c>
      <c r="M8" s="76"/>
      <c r="N8" s="71"/>
      <c r="O8" s="70"/>
      <c r="P8" s="72"/>
      <c r="Q8" s="70"/>
      <c r="R8" s="71"/>
      <c r="S8" s="70"/>
      <c r="T8" s="71"/>
    </row>
    <row r="9" spans="1:23" x14ac:dyDescent="0.25">
      <c r="A9" s="102" t="s">
        <v>12</v>
      </c>
      <c r="B9" s="33" t="s">
        <v>8</v>
      </c>
      <c r="C9" s="10">
        <v>18.09</v>
      </c>
      <c r="D9" s="34">
        <v>4944.84</v>
      </c>
      <c r="E9" s="35">
        <v>40.435200000000002</v>
      </c>
      <c r="F9" s="36">
        <v>44.266109999999998</v>
      </c>
      <c r="G9" s="37">
        <v>25.38777</v>
      </c>
      <c r="H9" s="83">
        <v>24</v>
      </c>
      <c r="I9" s="36">
        <v>24</v>
      </c>
      <c r="J9" s="11">
        <v>24</v>
      </c>
      <c r="K9" s="95">
        <v>24</v>
      </c>
      <c r="L9" s="37">
        <v>24</v>
      </c>
      <c r="M9" s="73"/>
      <c r="N9" s="69"/>
      <c r="O9" s="67"/>
      <c r="P9" s="69"/>
      <c r="Q9" s="69"/>
      <c r="R9" s="69"/>
      <c r="S9" s="69"/>
      <c r="T9" s="69"/>
    </row>
    <row r="10" spans="1:23" x14ac:dyDescent="0.25">
      <c r="A10" s="102"/>
      <c r="B10" s="38" t="s">
        <v>9</v>
      </c>
      <c r="C10" s="16">
        <v>10491.134309999999</v>
      </c>
      <c r="D10" s="16">
        <v>16138.6</v>
      </c>
      <c r="E10" s="20">
        <v>14523.8</v>
      </c>
      <c r="F10" s="18">
        <v>1719.7260000000001</v>
      </c>
      <c r="G10" s="98">
        <v>5312.6729999999998</v>
      </c>
      <c r="H10" s="84">
        <v>22</v>
      </c>
      <c r="I10" s="39">
        <v>21</v>
      </c>
      <c r="J10" s="20">
        <v>22</v>
      </c>
      <c r="K10" s="18">
        <v>24</v>
      </c>
      <c r="L10" s="98">
        <v>23</v>
      </c>
      <c r="M10" s="75"/>
      <c r="N10" s="69"/>
      <c r="O10" s="68"/>
      <c r="P10" s="69"/>
      <c r="Q10" s="69"/>
      <c r="R10" s="69"/>
      <c r="S10" s="68"/>
      <c r="T10" s="67"/>
    </row>
    <row r="11" spans="1:23" ht="15.75" thickBot="1" x14ac:dyDescent="0.3">
      <c r="A11" s="102"/>
      <c r="B11" s="41" t="s">
        <v>10</v>
      </c>
      <c r="C11" s="42">
        <v>11762.97784</v>
      </c>
      <c r="D11" s="42">
        <v>18382.099999999999</v>
      </c>
      <c r="E11" s="43">
        <v>15346.5</v>
      </c>
      <c r="F11" s="44">
        <v>363.31479999999999</v>
      </c>
      <c r="G11" s="26">
        <v>1266.914</v>
      </c>
      <c r="H11" s="85">
        <v>22</v>
      </c>
      <c r="I11" s="24">
        <v>21</v>
      </c>
      <c r="J11" s="43">
        <v>21</v>
      </c>
      <c r="K11" s="94">
        <v>24</v>
      </c>
      <c r="L11" s="27">
        <v>24</v>
      </c>
      <c r="M11" s="74"/>
      <c r="N11" s="69"/>
      <c r="O11" s="67"/>
      <c r="P11" s="68"/>
      <c r="Q11" s="69"/>
      <c r="R11" s="69"/>
      <c r="S11" s="68"/>
      <c r="T11" s="68"/>
    </row>
    <row r="12" spans="1:23" ht="15.75" thickBot="1" x14ac:dyDescent="0.3">
      <c r="A12" s="102"/>
      <c r="B12" s="45" t="s">
        <v>11</v>
      </c>
      <c r="C12" s="46">
        <f>SUM(C9:C11)</f>
        <v>22272.202149999997</v>
      </c>
      <c r="D12" s="30">
        <f>SUM(D9:D11)</f>
        <v>39465.54</v>
      </c>
      <c r="E12" s="47">
        <f>SUM(E9:E11)</f>
        <v>29910.735199999999</v>
      </c>
      <c r="F12" s="86">
        <f t="shared" ref="F12:J12" si="1">SUM(F9:F11)</f>
        <v>2127.3069100000002</v>
      </c>
      <c r="G12" s="82">
        <f t="shared" si="1"/>
        <v>6604.9747699999998</v>
      </c>
      <c r="H12" s="29">
        <f t="shared" si="1"/>
        <v>68</v>
      </c>
      <c r="I12" s="30">
        <f t="shared" si="1"/>
        <v>66</v>
      </c>
      <c r="J12" s="47">
        <f t="shared" si="1"/>
        <v>67</v>
      </c>
      <c r="K12" s="93">
        <f>SUM(K9:K11)</f>
        <v>72</v>
      </c>
      <c r="L12" s="82">
        <f>SUM(L9:L11)</f>
        <v>71</v>
      </c>
      <c r="M12" s="70"/>
      <c r="N12" s="70"/>
      <c r="O12" s="70"/>
      <c r="P12" s="71"/>
      <c r="Q12" s="70"/>
      <c r="R12" s="70"/>
      <c r="S12" s="71"/>
      <c r="T12" s="70"/>
      <c r="U12" s="64"/>
    </row>
    <row r="13" spans="1:23" x14ac:dyDescent="0.25">
      <c r="A13" s="101" t="s">
        <v>13</v>
      </c>
      <c r="B13" s="48" t="s">
        <v>8</v>
      </c>
      <c r="C13" s="10">
        <v>6.3201721300000004</v>
      </c>
      <c r="D13" s="49">
        <v>55.0199</v>
      </c>
      <c r="E13" s="11">
        <v>20.645800000000001</v>
      </c>
      <c r="F13" s="50">
        <v>41.573369999999997</v>
      </c>
      <c r="G13" s="37">
        <v>25.28838</v>
      </c>
      <c r="H13" s="83">
        <v>24</v>
      </c>
      <c r="I13" s="36">
        <v>24</v>
      </c>
      <c r="J13" s="11">
        <v>24</v>
      </c>
      <c r="K13" s="50">
        <v>24</v>
      </c>
      <c r="L13" s="37">
        <v>24</v>
      </c>
      <c r="M13" s="73"/>
      <c r="N13" s="67"/>
      <c r="O13" s="69"/>
      <c r="P13" s="69"/>
      <c r="Q13" s="69"/>
      <c r="R13" s="69"/>
      <c r="S13" s="69"/>
      <c r="T13" s="69"/>
    </row>
    <row r="14" spans="1:23" x14ac:dyDescent="0.25">
      <c r="A14" s="101"/>
      <c r="B14" s="51" t="s">
        <v>9</v>
      </c>
      <c r="C14" s="52">
        <v>24.887712709999999</v>
      </c>
      <c r="D14" s="53">
        <v>3827.16</v>
      </c>
      <c r="E14" s="16">
        <v>873.077</v>
      </c>
      <c r="F14" s="16">
        <v>82.702619999999996</v>
      </c>
      <c r="G14" s="51">
        <v>45.086500000000001</v>
      </c>
      <c r="H14" s="84">
        <v>24</v>
      </c>
      <c r="I14" s="16">
        <v>24</v>
      </c>
      <c r="J14" s="16">
        <v>24</v>
      </c>
      <c r="K14" s="17">
        <v>24</v>
      </c>
      <c r="L14" s="88">
        <v>24</v>
      </c>
      <c r="M14" s="73"/>
      <c r="N14" s="67"/>
      <c r="O14" s="69"/>
      <c r="P14" s="69"/>
      <c r="Q14" s="69"/>
      <c r="R14" s="69"/>
      <c r="S14" s="69"/>
      <c r="T14" s="69"/>
    </row>
    <row r="15" spans="1:23" ht="15.75" thickBot="1" x14ac:dyDescent="0.3">
      <c r="A15" s="101"/>
      <c r="B15" s="54" t="s">
        <v>10</v>
      </c>
      <c r="C15" s="55">
        <v>26.39</v>
      </c>
      <c r="D15" s="56">
        <v>696.16</v>
      </c>
      <c r="E15" s="42">
        <v>224.452</v>
      </c>
      <c r="F15" s="57">
        <v>88.108360000000005</v>
      </c>
      <c r="G15" s="89">
        <v>83.379729999999995</v>
      </c>
      <c r="H15" s="85">
        <v>24</v>
      </c>
      <c r="I15" s="24">
        <v>24</v>
      </c>
      <c r="J15" s="42">
        <v>24</v>
      </c>
      <c r="K15" s="57">
        <v>24</v>
      </c>
      <c r="L15" s="89">
        <v>24</v>
      </c>
      <c r="M15" s="73"/>
      <c r="N15" s="67"/>
      <c r="O15" s="69"/>
      <c r="P15" s="69"/>
      <c r="Q15" s="69"/>
      <c r="R15" s="69"/>
      <c r="S15" s="69"/>
      <c r="T15" s="69"/>
    </row>
    <row r="16" spans="1:23" ht="15.75" thickBot="1" x14ac:dyDescent="0.3">
      <c r="A16" s="103"/>
      <c r="B16" s="58" t="s">
        <v>11</v>
      </c>
      <c r="C16" s="59">
        <f>SUM(C13:C15)</f>
        <v>57.597884839999999</v>
      </c>
      <c r="D16" s="60">
        <f>SUM(D13:D15)</f>
        <v>4578.3398999999999</v>
      </c>
      <c r="E16" s="61">
        <f>SUM(E13:E15)</f>
        <v>1118.1748</v>
      </c>
      <c r="F16" s="61">
        <f t="shared" ref="F16:L16" si="2">SUM(F13:F15)</f>
        <v>212.38434999999998</v>
      </c>
      <c r="G16" s="63">
        <f t="shared" si="2"/>
        <v>153.75461000000001</v>
      </c>
      <c r="H16" s="91">
        <f t="shared" si="2"/>
        <v>72</v>
      </c>
      <c r="I16" s="90">
        <f t="shared" si="2"/>
        <v>72</v>
      </c>
      <c r="J16" s="61">
        <f t="shared" si="2"/>
        <v>72</v>
      </c>
      <c r="K16" s="61">
        <f t="shared" si="2"/>
        <v>72</v>
      </c>
      <c r="L16" s="92">
        <f t="shared" si="2"/>
        <v>72</v>
      </c>
      <c r="M16" s="71"/>
      <c r="N16" s="70"/>
      <c r="O16" s="70"/>
      <c r="P16" s="70"/>
      <c r="Q16" s="70"/>
      <c r="R16" s="70"/>
      <c r="S16" s="70"/>
      <c r="T16" s="70"/>
    </row>
    <row r="17" spans="7:16" ht="15.75" thickTop="1" x14ac:dyDescent="0.25">
      <c r="M17" s="64"/>
      <c r="N17" s="64"/>
      <c r="O17" s="64"/>
      <c r="P17" s="64"/>
    </row>
    <row r="18" spans="7:16" x14ac:dyDescent="0.25">
      <c r="K18" s="64"/>
      <c r="M18" s="64"/>
      <c r="N18" s="64"/>
      <c r="O18" s="64"/>
      <c r="P18" s="64"/>
    </row>
    <row r="19" spans="7:16" x14ac:dyDescent="0.25">
      <c r="K19" s="64"/>
      <c r="M19" s="64"/>
      <c r="N19" s="64"/>
      <c r="O19" s="64"/>
      <c r="P19" s="64"/>
    </row>
    <row r="20" spans="7:16" x14ac:dyDescent="0.25">
      <c r="K20" s="64"/>
      <c r="M20" s="64"/>
      <c r="N20" s="64"/>
      <c r="O20" s="64"/>
      <c r="P20" s="64"/>
    </row>
    <row r="21" spans="7:16" x14ac:dyDescent="0.25">
      <c r="K21" s="64"/>
      <c r="M21" s="64"/>
      <c r="N21" s="64"/>
      <c r="O21" s="64"/>
      <c r="P21" s="64"/>
    </row>
    <row r="22" spans="7:16" x14ac:dyDescent="0.25">
      <c r="G22" s="64"/>
      <c r="K22" s="64"/>
      <c r="M22" s="64"/>
      <c r="N22" s="64"/>
      <c r="O22" s="64"/>
      <c r="P22" s="64"/>
    </row>
    <row r="23" spans="7:16" x14ac:dyDescent="0.25">
      <c r="G23" s="64"/>
      <c r="K23" s="64"/>
      <c r="M23" s="64"/>
      <c r="N23" s="64"/>
      <c r="O23" s="64"/>
      <c r="P23" s="64"/>
    </row>
    <row r="24" spans="7:16" x14ac:dyDescent="0.25">
      <c r="G24" s="64"/>
      <c r="K24" s="64"/>
      <c r="M24" s="64"/>
      <c r="N24" s="64"/>
      <c r="O24" s="64"/>
      <c r="P24" s="64"/>
    </row>
    <row r="25" spans="7:16" x14ac:dyDescent="0.25">
      <c r="G25" s="64"/>
      <c r="K25" s="64"/>
      <c r="M25" s="64"/>
      <c r="N25" s="64"/>
      <c r="O25" s="64"/>
      <c r="P25" s="64"/>
    </row>
    <row r="26" spans="7:16" x14ac:dyDescent="0.25">
      <c r="G26" s="64"/>
      <c r="K26" s="64"/>
    </row>
    <row r="27" spans="7:16" x14ac:dyDescent="0.25">
      <c r="G27" s="64"/>
      <c r="K27" s="64"/>
    </row>
    <row r="28" spans="7:16" x14ac:dyDescent="0.25">
      <c r="G28" s="64"/>
      <c r="K28" s="64"/>
    </row>
    <row r="29" spans="7:16" x14ac:dyDescent="0.25">
      <c r="G29" s="64"/>
      <c r="K29" s="64"/>
    </row>
    <row r="30" spans="7:16" x14ac:dyDescent="0.25">
      <c r="G30" s="64"/>
    </row>
    <row r="31" spans="7:16" x14ac:dyDescent="0.25">
      <c r="G31" s="64"/>
    </row>
  </sheetData>
  <mergeCells count="8">
    <mergeCell ref="C1:L2"/>
    <mergeCell ref="A1:A4"/>
    <mergeCell ref="B1:B4"/>
    <mergeCell ref="A5:A8"/>
    <mergeCell ref="A9:A12"/>
    <mergeCell ref="A13:A16"/>
    <mergeCell ref="C3:G3"/>
    <mergeCell ref="H3:L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2026-04-15T15:46:52Z</dcterms:modified>
</cp:coreProperties>
</file>