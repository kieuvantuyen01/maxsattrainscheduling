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11" i="1" l="1"/>
  <c r="K7" i="1" l="1"/>
  <c r="N7" i="1"/>
  <c r="M11" i="1" l="1"/>
  <c r="J11" i="1"/>
  <c r="G15" i="1" l="1"/>
  <c r="G11" i="1"/>
  <c r="G7" i="1"/>
  <c r="F15" i="1"/>
  <c r="F11" i="1"/>
  <c r="F7" i="1"/>
  <c r="D15" i="1"/>
  <c r="D11" i="1"/>
  <c r="D7" i="1"/>
  <c r="C15" i="1"/>
  <c r="C11" i="1"/>
  <c r="C7" i="1"/>
  <c r="N15" i="1" l="1"/>
  <c r="M15" i="1"/>
  <c r="L15" i="1"/>
  <c r="K15" i="1"/>
  <c r="J15" i="1"/>
  <c r="I15" i="1"/>
  <c r="H15" i="1"/>
  <c r="E15" i="1"/>
  <c r="N11" i="1"/>
  <c r="L11" i="1"/>
  <c r="K11" i="1"/>
  <c r="I11" i="1"/>
  <c r="E11" i="1"/>
  <c r="M7" i="1"/>
  <c r="L7" i="1"/>
  <c r="J7" i="1"/>
  <c r="I7" i="1"/>
  <c r="H7" i="1"/>
  <c r="E7" i="1"/>
</calcChain>
</file>

<file path=xl/sharedStrings.xml><?xml version="1.0" encoding="utf-8"?>
<sst xmlns="http://schemas.openxmlformats.org/spreadsheetml/2006/main" count="59" uniqueCount="17">
  <si>
    <t>Objective function</t>
  </si>
  <si>
    <t>Set</t>
  </si>
  <si>
    <t>Average time (ms)</t>
  </si>
  <si>
    <t>#Solved</t>
  </si>
  <si>
    <t>Paper</t>
  </si>
  <si>
    <t>Linear Continuous</t>
  </si>
  <si>
    <t>Original</t>
  </si>
  <si>
    <t>Track time</t>
  </si>
  <si>
    <t>Station time</t>
  </si>
  <si>
    <t>All</t>
  </si>
  <si>
    <t>Rounded Linear</t>
  </si>
  <si>
    <t>Stepwise</t>
  </si>
  <si>
    <t>SAT</t>
  </si>
  <si>
    <t>Totalizer SAT</t>
  </si>
  <si>
    <t>300 seconds timeout</t>
  </si>
  <si>
    <t>X</t>
  </si>
  <si>
    <t>120 seconds 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</si>
</sst>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23" xfId="0" applyFont="1" applyBorder="1"/>
    <xf numFmtId="0" fontId="0" fillId="0" borderId="22" xfId="0" applyFont="1" applyBorder="1"/>
    <xf numFmtId="0" fontId="0" fillId="0" borderId="23" xfId="0" applyFont="1" applyBorder="1"/>
    <xf numFmtId="0" fontId="0" fillId="0" borderId="21" xfId="0" applyFont="1" applyBorder="1"/>
    <xf numFmtId="0" fontId="2" fillId="0" borderId="8" xfId="0" applyFont="1" applyBorder="1"/>
    <xf numFmtId="0" fontId="2" fillId="0" borderId="22" xfId="0" applyFont="1" applyBorder="1"/>
    <xf numFmtId="0" fontId="0" fillId="0" borderId="27" xfId="0" applyBorder="1"/>
    <xf numFmtId="0" fontId="0" fillId="0" borderId="0" xfId="0" applyBorder="1"/>
    <xf numFmtId="0" fontId="0" fillId="0" borderId="23" xfId="0" applyFont="1" applyBorder="1" applyAlignment="1">
      <alignment horizontal="right"/>
    </xf>
    <xf numFmtId="0" fontId="0" fillId="0" borderId="16" xfId="0" applyFont="1" applyBorder="1"/>
    <xf numFmtId="0" fontId="0" fillId="0" borderId="14" xfId="0" applyBorder="1"/>
    <xf numFmtId="0" fontId="0" fillId="0" borderId="1" xfId="0" applyFont="1" applyBorder="1"/>
    <xf numFmtId="0" fontId="2" fillId="0" borderId="30" xfId="0" applyFont="1" applyBorder="1"/>
    <xf numFmtId="0" fontId="0" fillId="0" borderId="30" xfId="0" applyFont="1" applyBorder="1"/>
    <xf numFmtId="0" fontId="2" fillId="0" borderId="26" xfId="0" applyFont="1" applyBorder="1"/>
    <xf numFmtId="0" fontId="2" fillId="0" borderId="24" xfId="0" applyFont="1" applyBorder="1"/>
    <xf numFmtId="0" fontId="2" fillId="2" borderId="34" xfId="1" applyFont="1" applyBorder="1"/>
    <xf numFmtId="0" fontId="1" fillId="2" borderId="35" xfId="1" applyFont="1" applyBorder="1"/>
    <xf numFmtId="0" fontId="2" fillId="2" borderId="37" xfId="1" applyFont="1" applyBorder="1"/>
    <xf numFmtId="0" fontId="1" fillId="2" borderId="14" xfId="1" applyFont="1" applyBorder="1"/>
    <xf numFmtId="0" fontId="1" fillId="2" borderId="38" xfId="1" applyFont="1" applyBorder="1"/>
    <xf numFmtId="0" fontId="1" fillId="2" borderId="39" xfId="1" applyFont="1" applyBorder="1"/>
    <xf numFmtId="0" fontId="1" fillId="2" borderId="41" xfId="1" applyFont="1" applyBorder="1"/>
    <xf numFmtId="0" fontId="0" fillId="0" borderId="43" xfId="0" applyFont="1" applyBorder="1"/>
    <xf numFmtId="0" fontId="1" fillId="2" borderId="29" xfId="1" applyFont="1" applyBorder="1"/>
    <xf numFmtId="0" fontId="0" fillId="0" borderId="26" xfId="0" applyFont="1" applyBorder="1"/>
    <xf numFmtId="0" fontId="1" fillId="2" borderId="45" xfId="1" applyFont="1" applyBorder="1"/>
    <xf numFmtId="0" fontId="2" fillId="2" borderId="45" xfId="1" applyFont="1" applyBorder="1"/>
    <xf numFmtId="0" fontId="1" fillId="2" borderId="34" xfId="1" applyFont="1" applyBorder="1"/>
    <xf numFmtId="0" fontId="1" fillId="2" borderId="46" xfId="1" applyFont="1" applyBorder="1"/>
    <xf numFmtId="0" fontId="0" fillId="0" borderId="44" xfId="0" applyFont="1" applyBorder="1"/>
    <xf numFmtId="0" fontId="1" fillId="2" borderId="47" xfId="1" applyFont="1" applyBorder="1"/>
    <xf numFmtId="0" fontId="1" fillId="2" borderId="48" xfId="1" applyFont="1" applyBorder="1"/>
    <xf numFmtId="0" fontId="2" fillId="2" borderId="35" xfId="1" applyFont="1" applyBorder="1"/>
    <xf numFmtId="0" fontId="2" fillId="0" borderId="49" xfId="0" applyFont="1" applyBorder="1"/>
    <xf numFmtId="0" fontId="1" fillId="2" borderId="37" xfId="1" applyFont="1" applyBorder="1"/>
    <xf numFmtId="0" fontId="2" fillId="0" borderId="18" xfId="0" applyFont="1" applyBorder="1"/>
    <xf numFmtId="0" fontId="1" fillId="2" borderId="51" xfId="1" applyFont="1" applyBorder="1"/>
    <xf numFmtId="0" fontId="1" fillId="2" borderId="28" xfId="1" applyFont="1" applyBorder="1"/>
    <xf numFmtId="0" fontId="0" fillId="0" borderId="53" xfId="0" applyBorder="1"/>
    <xf numFmtId="0" fontId="0" fillId="0" borderId="54" xfId="0" applyBorder="1"/>
    <xf numFmtId="0" fontId="0" fillId="0" borderId="55" xfId="0" applyBorder="1" applyAlignment="1">
      <alignment horizontal="center" vertical="center"/>
    </xf>
    <xf numFmtId="0" fontId="0" fillId="0" borderId="57" xfId="0" applyBorder="1"/>
    <xf numFmtId="0" fontId="0" fillId="0" borderId="15" xfId="0" applyFont="1" applyBorder="1"/>
    <xf numFmtId="0" fontId="1" fillId="2" borderId="58" xfId="1" applyBorder="1"/>
    <xf numFmtId="0" fontId="0" fillId="0" borderId="19" xfId="0" applyFont="1" applyBorder="1"/>
    <xf numFmtId="0" fontId="0" fillId="0" borderId="42" xfId="0" applyBorder="1"/>
    <xf numFmtId="0" fontId="0" fillId="0" borderId="39" xfId="0" applyBorder="1"/>
    <xf numFmtId="0" fontId="0" fillId="0" borderId="59" xfId="0" applyBorder="1"/>
    <xf numFmtId="0" fontId="0" fillId="0" borderId="38" xfId="0" applyBorder="1"/>
    <xf numFmtId="0" fontId="0" fillId="0" borderId="14" xfId="0" applyFill="1" applyBorder="1"/>
    <xf numFmtId="0" fontId="2" fillId="0" borderId="61" xfId="0" applyFont="1" applyBorder="1"/>
    <xf numFmtId="0" fontId="0" fillId="0" borderId="16" xfId="0" applyFont="1" applyBorder="1" applyAlignment="1">
      <alignment horizontal="right"/>
    </xf>
    <xf numFmtId="0" fontId="2" fillId="0" borderId="62" xfId="0" applyFont="1" applyBorder="1"/>
    <xf numFmtId="0" fontId="0" fillId="0" borderId="36" xfId="0" applyBorder="1"/>
    <xf numFmtId="0" fontId="0" fillId="0" borderId="34" xfId="0" applyBorder="1"/>
    <xf numFmtId="0" fontId="0" fillId="0" borderId="48" xfId="0" applyFill="1" applyBorder="1"/>
    <xf numFmtId="0" fontId="0" fillId="0" borderId="52" xfId="0" applyBorder="1" applyAlignment="1">
      <alignment horizontal="center" vertical="center"/>
    </xf>
    <xf numFmtId="0" fontId="0" fillId="0" borderId="66" xfId="0" applyBorder="1"/>
    <xf numFmtId="0" fontId="0" fillId="0" borderId="67" xfId="0" applyBorder="1"/>
    <xf numFmtId="0" fontId="0" fillId="0" borderId="56" xfId="0" applyBorder="1" applyAlignment="1">
      <alignment horizontal="center" vertical="center"/>
    </xf>
    <xf numFmtId="0" fontId="0" fillId="0" borderId="68" xfId="0" applyBorder="1"/>
    <xf numFmtId="0" fontId="0" fillId="0" borderId="69" xfId="0" applyBorder="1"/>
    <xf numFmtId="0" fontId="1" fillId="2" borderId="70" xfId="1" applyBorder="1"/>
    <xf numFmtId="0" fontId="0" fillId="0" borderId="72" xfId="0" applyBorder="1"/>
    <xf numFmtId="0" fontId="0" fillId="0" borderId="73" xfId="0" applyBorder="1"/>
    <xf numFmtId="0" fontId="1" fillId="2" borderId="74" xfId="1" applyBorder="1"/>
    <xf numFmtId="0" fontId="0" fillId="0" borderId="71" xfId="0" applyBorder="1" applyAlignment="1">
      <alignment horizontal="center" vertical="center"/>
    </xf>
    <xf numFmtId="0" fontId="0" fillId="0" borderId="75" xfId="0" applyBorder="1" applyAlignment="1">
      <alignment horizontal="center"/>
    </xf>
    <xf numFmtId="0" fontId="2" fillId="2" borderId="76" xfId="1" applyFont="1" applyBorder="1"/>
    <xf numFmtId="0" fontId="1" fillId="2" borderId="59" xfId="1" applyFont="1" applyBorder="1"/>
    <xf numFmtId="0" fontId="0" fillId="0" borderId="18" xfId="0" applyFont="1" applyBorder="1"/>
    <xf numFmtId="0" fontId="2" fillId="0" borderId="50" xfId="0" applyFont="1" applyBorder="1"/>
    <xf numFmtId="0" fontId="2" fillId="2" borderId="28" xfId="1" applyFont="1" applyBorder="1"/>
    <xf numFmtId="0" fontId="2" fillId="2" borderId="36" xfId="1" applyFont="1" applyBorder="1"/>
    <xf numFmtId="0" fontId="2" fillId="0" borderId="15" xfId="0" applyFont="1" applyBorder="1"/>
    <xf numFmtId="0" fontId="2" fillId="0" borderId="20" xfId="0" applyFont="1" applyBorder="1"/>
    <xf numFmtId="0" fontId="2" fillId="0" borderId="50" xfId="0" applyFont="1" applyFill="1" applyBorder="1"/>
    <xf numFmtId="0" fontId="0" fillId="0" borderId="17" xfId="0" applyFont="1" applyBorder="1"/>
    <xf numFmtId="0" fontId="0" fillId="0" borderId="60" xfId="0" applyFont="1" applyBorder="1"/>
    <xf numFmtId="0" fontId="0" fillId="0" borderId="63" xfId="0" applyFont="1" applyBorder="1"/>
    <xf numFmtId="0" fontId="0" fillId="0" borderId="60" xfId="0" applyFont="1" applyBorder="1" applyAlignment="1">
      <alignment horizontal="right"/>
    </xf>
    <xf numFmtId="0" fontId="0" fillId="0" borderId="8" xfId="0" applyFont="1" applyBorder="1"/>
    <xf numFmtId="0" fontId="0" fillId="0" borderId="31" xfId="0" applyFont="1" applyBorder="1"/>
    <xf numFmtId="0" fontId="0" fillId="0" borderId="32" xfId="0" applyFont="1" applyBorder="1"/>
    <xf numFmtId="0" fontId="0" fillId="0" borderId="26" xfId="0" applyFont="1" applyBorder="1" applyAlignment="1">
      <alignment horizontal="right"/>
    </xf>
    <xf numFmtId="0" fontId="0" fillId="0" borderId="24" xfId="0" applyFont="1" applyBorder="1"/>
    <xf numFmtId="0" fontId="0" fillId="0" borderId="25" xfId="0" applyFont="1" applyBorder="1"/>
    <xf numFmtId="0" fontId="1" fillId="2" borderId="65" xfId="1" applyFont="1" applyBorder="1"/>
    <xf numFmtId="0" fontId="0" fillId="0" borderId="33" xfId="0" applyFont="1" applyBorder="1"/>
    <xf numFmtId="0" fontId="0" fillId="0" borderId="2" xfId="0" applyFont="1" applyBorder="1"/>
    <xf numFmtId="0" fontId="0" fillId="0" borderId="64" xfId="0" applyFont="1" applyFill="1" applyBorder="1"/>
    <xf numFmtId="0" fontId="0" fillId="0" borderId="21" xfId="0" applyFont="1" applyFill="1" applyBorder="1"/>
    <xf numFmtId="0" fontId="0" fillId="0" borderId="44" xfId="0" applyFont="1" applyBorder="1" applyAlignment="1">
      <alignment horizontal="right"/>
    </xf>
    <xf numFmtId="0" fontId="0" fillId="0" borderId="20" xfId="0" applyFont="1" applyBorder="1" applyAlignment="1">
      <alignment horizontal="right"/>
    </xf>
    <xf numFmtId="0" fontId="0" fillId="0" borderId="33" xfId="0" applyFont="1" applyBorder="1" applyAlignment="1">
      <alignment horizontal="right"/>
    </xf>
    <xf numFmtId="0" fontId="0" fillId="0" borderId="17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22" xfId="0" applyFont="1" applyBorder="1" applyAlignment="1">
      <alignment horizontal="right"/>
    </xf>
    <xf numFmtId="0" fontId="0" fillId="0" borderId="21" xfId="0" applyFont="1" applyBorder="1" applyAlignment="1">
      <alignment horizontal="right"/>
    </xf>
    <xf numFmtId="0" fontId="0" fillId="0" borderId="8" xfId="0" applyFont="1" applyBorder="1" applyAlignment="1">
      <alignment horizontal="right"/>
    </xf>
    <xf numFmtId="0" fontId="0" fillId="0" borderId="43" xfId="0" applyFont="1" applyBorder="1" applyAlignment="1">
      <alignment horizontal="right"/>
    </xf>
    <xf numFmtId="0" fontId="0" fillId="0" borderId="40" xfId="0" applyFont="1" applyBorder="1" applyAlignment="1">
      <alignment horizontal="right"/>
    </xf>
    <xf numFmtId="0" fontId="0" fillId="0" borderId="24" xfId="0" applyFont="1" applyBorder="1" applyAlignment="1">
      <alignment horizontal="right"/>
    </xf>
    <xf numFmtId="0" fontId="1" fillId="2" borderId="42" xfId="1" applyFont="1" applyBorder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zoomScale="175" zoomScaleNormal="175" workbookViewId="0">
      <selection activeCell="H20" sqref="H20"/>
    </sheetView>
  </sheetViews>
  <sheetFormatPr defaultRowHeight="15" x14ac:dyDescent="0.25"/>
  <cols>
    <col min="1" max="1" width="17.7109375" bestFit="1" customWidth="1"/>
    <col min="2" max="2" width="11.85546875" bestFit="1" customWidth="1"/>
    <col min="3" max="4" width="12.42578125" bestFit="1" customWidth="1"/>
    <col min="5" max="5" width="20.5703125" bestFit="1" customWidth="1"/>
    <col min="6" max="6" width="6.140625" bestFit="1" customWidth="1"/>
    <col min="7" max="7" width="10.7109375" bestFit="1" customWidth="1"/>
    <col min="8" max="8" width="20.5703125" bestFit="1" customWidth="1"/>
    <col min="9" max="10" width="12.42578125" customWidth="1"/>
    <col min="11" max="11" width="20.5703125" bestFit="1" customWidth="1"/>
    <col min="12" max="12" width="6.140625" bestFit="1" customWidth="1"/>
    <col min="13" max="13" width="10.7109375" bestFit="1" customWidth="1"/>
    <col min="14" max="14" width="20.5703125" bestFit="1" customWidth="1"/>
  </cols>
  <sheetData>
    <row r="1" spans="1:15" ht="15.75" thickBot="1" x14ac:dyDescent="0.3">
      <c r="A1" s="1" t="s">
        <v>0</v>
      </c>
      <c r="B1" s="2" t="s">
        <v>1</v>
      </c>
      <c r="C1" s="3" t="s">
        <v>16</v>
      </c>
      <c r="D1" s="4"/>
      <c r="E1" s="4"/>
      <c r="F1" s="4"/>
      <c r="G1" s="4"/>
      <c r="H1" s="4"/>
      <c r="I1" s="5" t="s">
        <v>14</v>
      </c>
      <c r="J1" s="6"/>
      <c r="K1" s="6"/>
      <c r="L1" s="6"/>
      <c r="M1" s="6"/>
      <c r="N1" s="6"/>
      <c r="O1" s="7"/>
    </row>
    <row r="2" spans="1:15" ht="16.5" thickTop="1" thickBot="1" x14ac:dyDescent="0.3">
      <c r="A2" s="8"/>
      <c r="B2" s="9"/>
      <c r="C2" s="10" t="s">
        <v>2</v>
      </c>
      <c r="D2" s="11"/>
      <c r="E2" s="11"/>
      <c r="F2" s="12" t="s">
        <v>3</v>
      </c>
      <c r="G2" s="11"/>
      <c r="H2" s="13"/>
      <c r="I2" s="10" t="s">
        <v>2</v>
      </c>
      <c r="J2" s="11"/>
      <c r="K2" s="82"/>
      <c r="L2" s="12" t="s">
        <v>3</v>
      </c>
      <c r="M2" s="11"/>
      <c r="N2" s="13"/>
      <c r="O2" s="7"/>
    </row>
    <row r="3" spans="1:15" ht="15.75" thickBot="1" x14ac:dyDescent="0.3">
      <c r="A3" s="8"/>
      <c r="B3" s="71"/>
      <c r="C3" s="60" t="s">
        <v>4</v>
      </c>
      <c r="D3" s="61" t="s">
        <v>12</v>
      </c>
      <c r="E3" s="62" t="s">
        <v>13</v>
      </c>
      <c r="F3" s="63" t="s">
        <v>4</v>
      </c>
      <c r="G3" s="24" t="s">
        <v>12</v>
      </c>
      <c r="H3" s="64" t="s">
        <v>13</v>
      </c>
      <c r="I3" s="60" t="s">
        <v>4</v>
      </c>
      <c r="J3" s="61" t="s">
        <v>12</v>
      </c>
      <c r="K3" s="24" t="s">
        <v>13</v>
      </c>
      <c r="L3" s="68" t="s">
        <v>4</v>
      </c>
      <c r="M3" s="69" t="s">
        <v>12</v>
      </c>
      <c r="N3" s="70" t="s">
        <v>13</v>
      </c>
      <c r="O3" s="7"/>
    </row>
    <row r="4" spans="1:15" ht="15.75" thickTop="1" x14ac:dyDescent="0.25">
      <c r="A4" s="74" t="s">
        <v>5</v>
      </c>
      <c r="B4" s="73" t="s">
        <v>6</v>
      </c>
      <c r="C4" s="59">
        <v>11763.28</v>
      </c>
      <c r="D4" s="23">
        <v>47001.25</v>
      </c>
      <c r="E4" s="50">
        <v>1879.4179999999999</v>
      </c>
      <c r="F4" s="92">
        <v>22</v>
      </c>
      <c r="G4" s="93">
        <v>15</v>
      </c>
      <c r="H4" s="65">
        <v>24</v>
      </c>
      <c r="I4" s="59">
        <v>23850.84</v>
      </c>
      <c r="J4" s="66" t="s">
        <v>15</v>
      </c>
      <c r="K4" s="67">
        <v>1844.93</v>
      </c>
      <c r="L4" s="94">
        <v>23</v>
      </c>
      <c r="M4" s="95" t="s">
        <v>15</v>
      </c>
      <c r="N4" s="50">
        <v>24</v>
      </c>
      <c r="O4" s="7"/>
    </row>
    <row r="5" spans="1:15" x14ac:dyDescent="0.25">
      <c r="A5" s="74"/>
      <c r="B5" s="56" t="s">
        <v>7</v>
      </c>
      <c r="C5" s="19">
        <v>23035.61</v>
      </c>
      <c r="D5" s="16">
        <v>85001.46</v>
      </c>
      <c r="E5" s="17">
        <v>31077.13</v>
      </c>
      <c r="F5" s="18">
        <v>20</v>
      </c>
      <c r="G5" s="16">
        <v>7</v>
      </c>
      <c r="H5" s="16">
        <v>19</v>
      </c>
      <c r="I5" s="19">
        <v>53958.43</v>
      </c>
      <c r="J5" s="22" t="s">
        <v>15</v>
      </c>
      <c r="K5" s="16">
        <v>64694.43</v>
      </c>
      <c r="L5" s="18">
        <v>21</v>
      </c>
      <c r="M5" s="22" t="s">
        <v>15</v>
      </c>
      <c r="N5" s="16">
        <v>19</v>
      </c>
      <c r="O5" s="7"/>
    </row>
    <row r="6" spans="1:15" ht="15.75" thickBot="1" x14ac:dyDescent="0.3">
      <c r="A6" s="74"/>
      <c r="B6" s="54" t="s">
        <v>8</v>
      </c>
      <c r="C6" s="27">
        <v>42557.14</v>
      </c>
      <c r="D6" s="97">
        <v>90078.45</v>
      </c>
      <c r="E6" s="86">
        <v>39742.83</v>
      </c>
      <c r="F6" s="48">
        <v>18</v>
      </c>
      <c r="G6" s="97">
        <v>6</v>
      </c>
      <c r="H6" s="98">
        <v>15</v>
      </c>
      <c r="I6" s="26">
        <v>82370.27</v>
      </c>
      <c r="J6" s="99" t="s">
        <v>15</v>
      </c>
      <c r="K6" s="39">
        <v>83094.100000000006</v>
      </c>
      <c r="L6" s="29">
        <v>19</v>
      </c>
      <c r="M6" s="99" t="s">
        <v>15</v>
      </c>
      <c r="N6" s="101">
        <v>15</v>
      </c>
      <c r="O6" s="7"/>
    </row>
    <row r="7" spans="1:15" ht="15.75" thickBot="1" x14ac:dyDescent="0.3">
      <c r="A7" s="74"/>
      <c r="B7" s="58" t="s">
        <v>9</v>
      </c>
      <c r="C7" s="38">
        <f>SUM(C4:C6)</f>
        <v>77356.03</v>
      </c>
      <c r="D7" s="33">
        <f>SUM(D4:D6)</f>
        <v>222081.16000000003</v>
      </c>
      <c r="E7" s="87">
        <f t="shared" ref="E7:H7" si="0">SUM(E4:E6)</f>
        <v>72699.377999999997</v>
      </c>
      <c r="F7" s="32">
        <f t="shared" si="0"/>
        <v>60</v>
      </c>
      <c r="G7" s="31">
        <f t="shared" si="0"/>
        <v>28</v>
      </c>
      <c r="H7" s="33">
        <f t="shared" si="0"/>
        <v>58</v>
      </c>
      <c r="I7" s="43">
        <f>SUM(I4:I6)</f>
        <v>160179.54</v>
      </c>
      <c r="J7" s="42">
        <f t="shared" ref="J7:M7" si="1">SUM(J4:J6)</f>
        <v>0</v>
      </c>
      <c r="K7" s="41">
        <f>SUM(K4:K6)</f>
        <v>149633.46000000002</v>
      </c>
      <c r="L7" s="88">
        <f t="shared" si="1"/>
        <v>63</v>
      </c>
      <c r="M7" s="31">
        <f t="shared" si="1"/>
        <v>0</v>
      </c>
      <c r="N7" s="102">
        <f>SUM(N4:N6)</f>
        <v>58</v>
      </c>
      <c r="O7" s="7"/>
    </row>
    <row r="8" spans="1:15" x14ac:dyDescent="0.25">
      <c r="A8" s="55" t="s">
        <v>10</v>
      </c>
      <c r="B8" s="75" t="s">
        <v>6</v>
      </c>
      <c r="C8" s="57">
        <v>18.09</v>
      </c>
      <c r="D8" s="90">
        <v>10.46034</v>
      </c>
      <c r="E8" s="103">
        <v>27.669319999999999</v>
      </c>
      <c r="F8" s="25">
        <v>24</v>
      </c>
      <c r="G8" s="23">
        <v>24</v>
      </c>
      <c r="H8" s="104">
        <v>24</v>
      </c>
      <c r="I8" s="44">
        <v>17.942799999999998</v>
      </c>
      <c r="J8" s="90">
        <v>10.46034</v>
      </c>
      <c r="K8" s="103">
        <v>30.76332</v>
      </c>
      <c r="L8" s="25">
        <v>24</v>
      </c>
      <c r="M8" s="23">
        <v>24</v>
      </c>
      <c r="N8" s="105">
        <v>24</v>
      </c>
      <c r="O8" s="7"/>
    </row>
    <row r="9" spans="1:15" x14ac:dyDescent="0.25">
      <c r="A9" s="55"/>
      <c r="B9" s="72" t="s">
        <v>7</v>
      </c>
      <c r="C9" s="16">
        <v>10491.134309999999</v>
      </c>
      <c r="D9" s="14">
        <v>7269.5829999999996</v>
      </c>
      <c r="E9" s="17">
        <v>11607.29</v>
      </c>
      <c r="F9" s="96">
        <v>22</v>
      </c>
      <c r="G9" s="14">
        <v>24</v>
      </c>
      <c r="H9" s="16">
        <v>23</v>
      </c>
      <c r="I9" s="15">
        <v>25918.12</v>
      </c>
      <c r="J9" s="14">
        <v>7269.5829999999996</v>
      </c>
      <c r="K9" s="16">
        <v>21745.45</v>
      </c>
      <c r="L9" s="96">
        <v>22</v>
      </c>
      <c r="M9" s="14">
        <v>24</v>
      </c>
      <c r="N9" s="106">
        <v>23</v>
      </c>
      <c r="O9" s="7"/>
    </row>
    <row r="10" spans="1:15" ht="15.75" thickBot="1" x14ac:dyDescent="0.3">
      <c r="A10" s="55"/>
      <c r="B10" s="76" t="s">
        <v>8</v>
      </c>
      <c r="C10" s="39">
        <v>11762.97784</v>
      </c>
      <c r="D10" s="28">
        <v>5030.67</v>
      </c>
      <c r="E10" s="101">
        <v>8345.4470000000001</v>
      </c>
      <c r="F10" s="100">
        <v>22</v>
      </c>
      <c r="G10" s="28">
        <v>24</v>
      </c>
      <c r="H10" s="98">
        <v>23</v>
      </c>
      <c r="I10" s="37">
        <v>30652.21</v>
      </c>
      <c r="J10" s="28">
        <v>5030.67</v>
      </c>
      <c r="K10" s="39">
        <v>6108.8789999999999</v>
      </c>
      <c r="L10" s="100">
        <v>22</v>
      </c>
      <c r="M10" s="28">
        <v>24</v>
      </c>
      <c r="N10" s="91">
        <v>24</v>
      </c>
      <c r="O10" s="7"/>
    </row>
    <row r="11" spans="1:15" ht="15.75" thickBot="1" x14ac:dyDescent="0.3">
      <c r="A11" s="55"/>
      <c r="B11" s="77" t="s">
        <v>9</v>
      </c>
      <c r="C11" s="38">
        <f>SUM(C8:C10)</f>
        <v>22272.202149999997</v>
      </c>
      <c r="D11" s="47">
        <f>SUM(D8:D10)</f>
        <v>12310.713339999998</v>
      </c>
      <c r="E11" s="51">
        <f t="shared" ref="E11:H11" si="2">SUM(E8:E10)</f>
        <v>19980.406320000002</v>
      </c>
      <c r="F11" s="49">
        <f t="shared" si="2"/>
        <v>68</v>
      </c>
      <c r="G11" s="47">
        <f t="shared" si="2"/>
        <v>72</v>
      </c>
      <c r="H11" s="45">
        <f>SUM(H8:H10)</f>
        <v>70</v>
      </c>
      <c r="I11" s="38">
        <f>SUM(I8:I10)</f>
        <v>56588.272799999999</v>
      </c>
      <c r="J11" s="30">
        <f>SUM(J8:J10)</f>
        <v>12310.713339999998</v>
      </c>
      <c r="K11" s="40">
        <f t="shared" ref="K11:N11" si="3">SUM(K8:K10)</f>
        <v>27885.09232</v>
      </c>
      <c r="L11" s="49">
        <f t="shared" si="3"/>
        <v>68</v>
      </c>
      <c r="M11" s="30">
        <f t="shared" si="3"/>
        <v>72</v>
      </c>
      <c r="N11" s="52">
        <f t="shared" si="3"/>
        <v>71</v>
      </c>
      <c r="O11" s="7"/>
    </row>
    <row r="12" spans="1:15" x14ac:dyDescent="0.25">
      <c r="A12" s="74" t="s">
        <v>11</v>
      </c>
      <c r="B12" s="78" t="s">
        <v>6</v>
      </c>
      <c r="C12" s="89">
        <v>6.3201721300000004</v>
      </c>
      <c r="D12" s="23">
        <v>8.4396679999999993</v>
      </c>
      <c r="E12" s="85">
        <v>37.37274</v>
      </c>
      <c r="F12" s="25">
        <v>24</v>
      </c>
      <c r="G12" s="23">
        <v>24</v>
      </c>
      <c r="H12" s="23">
        <v>24</v>
      </c>
      <c r="I12" s="107" t="s">
        <v>15</v>
      </c>
      <c r="J12" s="108" t="s">
        <v>15</v>
      </c>
      <c r="K12" s="109" t="s">
        <v>15</v>
      </c>
      <c r="L12" s="110" t="s">
        <v>15</v>
      </c>
      <c r="M12" s="108" t="s">
        <v>15</v>
      </c>
      <c r="N12" s="111" t="s">
        <v>15</v>
      </c>
    </row>
    <row r="13" spans="1:15" x14ac:dyDescent="0.25">
      <c r="A13" s="74"/>
      <c r="B13" s="53" t="s">
        <v>7</v>
      </c>
      <c r="C13" s="19">
        <v>24.887712709999999</v>
      </c>
      <c r="D13" s="16">
        <v>94.609719999999996</v>
      </c>
      <c r="E13" s="17">
        <v>129.405</v>
      </c>
      <c r="F13" s="96">
        <v>24</v>
      </c>
      <c r="G13" s="16">
        <v>24</v>
      </c>
      <c r="H13" s="16">
        <v>24</v>
      </c>
      <c r="I13" s="112" t="s">
        <v>15</v>
      </c>
      <c r="J13" s="22" t="s">
        <v>15</v>
      </c>
      <c r="K13" s="113" t="s">
        <v>15</v>
      </c>
      <c r="L13" s="114" t="s">
        <v>15</v>
      </c>
      <c r="M13" s="22" t="s">
        <v>15</v>
      </c>
      <c r="N13" s="22" t="s">
        <v>15</v>
      </c>
      <c r="O13" s="7"/>
    </row>
    <row r="14" spans="1:15" ht="15.75" thickBot="1" x14ac:dyDescent="0.3">
      <c r="A14" s="74"/>
      <c r="B14" s="79" t="s">
        <v>8</v>
      </c>
      <c r="C14" s="26">
        <v>26.39</v>
      </c>
      <c r="D14" s="39">
        <v>78.652550000000005</v>
      </c>
      <c r="E14" s="101">
        <v>83.226799999999997</v>
      </c>
      <c r="F14" s="100">
        <v>24</v>
      </c>
      <c r="G14" s="39">
        <v>24</v>
      </c>
      <c r="H14" s="39">
        <v>24</v>
      </c>
      <c r="I14" s="115" t="s">
        <v>15</v>
      </c>
      <c r="J14" s="99" t="s">
        <v>15</v>
      </c>
      <c r="K14" s="116" t="s">
        <v>15</v>
      </c>
      <c r="L14" s="117" t="s">
        <v>15</v>
      </c>
      <c r="M14" s="99" t="s">
        <v>15</v>
      </c>
      <c r="N14" s="99" t="s">
        <v>15</v>
      </c>
      <c r="O14" s="7"/>
    </row>
    <row r="15" spans="1:15" ht="15.75" thickBot="1" x14ac:dyDescent="0.3">
      <c r="A15" s="81"/>
      <c r="B15" s="80" t="s">
        <v>9</v>
      </c>
      <c r="C15" s="83">
        <f>SUM(C12:C14)</f>
        <v>57.597884839999999</v>
      </c>
      <c r="D15" s="35">
        <f>SUM(D12:D14)</f>
        <v>181.70193799999998</v>
      </c>
      <c r="E15" s="84">
        <f t="shared" ref="E15:H15" si="4">SUM(E12:E14)</f>
        <v>250.00453999999999</v>
      </c>
      <c r="F15" s="34">
        <f t="shared" si="4"/>
        <v>72</v>
      </c>
      <c r="G15" s="35">
        <f t="shared" si="4"/>
        <v>72</v>
      </c>
      <c r="H15" s="46">
        <f t="shared" si="4"/>
        <v>72</v>
      </c>
      <c r="I15" s="118">
        <f>SUM(I12:I14)</f>
        <v>0</v>
      </c>
      <c r="J15" s="35">
        <f t="shared" ref="J15:K15" si="5">SUM(J12:J14)</f>
        <v>0</v>
      </c>
      <c r="K15" s="36">
        <f t="shared" si="5"/>
        <v>0</v>
      </c>
      <c r="L15" s="34">
        <f t="shared" ref="L15:N15" si="6">SUM(L12:L14)</f>
        <v>0</v>
      </c>
      <c r="M15" s="35">
        <f t="shared" si="6"/>
        <v>0</v>
      </c>
      <c r="N15" s="46">
        <f t="shared" si="6"/>
        <v>0</v>
      </c>
    </row>
    <row r="16" spans="1:15" ht="15.75" thickTop="1" x14ac:dyDescent="0.25">
      <c r="A16" s="20"/>
      <c r="B16" s="20"/>
      <c r="C16" s="20"/>
      <c r="F16" s="20"/>
      <c r="H16" s="20"/>
      <c r="M16" s="20"/>
    </row>
    <row r="17" spans="4:4" x14ac:dyDescent="0.25">
      <c r="D17" s="21"/>
    </row>
    <row r="18" spans="4:4" x14ac:dyDescent="0.25">
      <c r="D18" s="21"/>
    </row>
    <row r="19" spans="4:4" x14ac:dyDescent="0.25">
      <c r="D19" s="21"/>
    </row>
  </sheetData>
  <mergeCells count="11">
    <mergeCell ref="A4:A7"/>
    <mergeCell ref="A8:A11"/>
    <mergeCell ref="A12:A15"/>
    <mergeCell ref="A1:A3"/>
    <mergeCell ref="B1:B3"/>
    <mergeCell ref="C1:H1"/>
    <mergeCell ref="I1:N1"/>
    <mergeCell ref="C2:E2"/>
    <mergeCell ref="F2:H2"/>
    <mergeCell ref="I2:K2"/>
    <mergeCell ref="L2:N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2026-03-27T17:27:02Z</dcterms:modified>
</cp:coreProperties>
</file>